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27" codeName="{82680DD9-3F13-7979-5B5F-3D2375947C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hang\Documents\Xiaoli\AI\equity_pricing\excel\"/>
    </mc:Choice>
  </mc:AlternateContent>
  <xr:revisionPtr revIDLastSave="0" documentId="8_{E2FC148D-3F76-4BCE-A1AE-495F2F01778F}" xr6:coauthVersionLast="47" xr6:coauthVersionMax="47" xr10:uidLastSave="{00000000-0000-0000-0000-000000000000}"/>
  <bookViews>
    <workbookView xWindow="28680" yWindow="-120" windowWidth="38640" windowHeight="21120" tabRatio="500" xr2:uid="{00000000-000D-0000-FFFF-FFFF00000000}"/>
  </bookViews>
  <sheets>
    <sheet name="Control" sheetId="3" r:id="rId1"/>
    <sheet name="Config" sheetId="4" r:id="rId2"/>
    <sheet name="Market" sheetId="5" r:id="rId3"/>
    <sheet name="Curve" sheetId="6" r:id="rId4"/>
    <sheet name="FX" sheetId="7" r:id="rId5"/>
    <sheet name="VolSurface" sheetId="8" r:id="rId6"/>
    <sheet name="Correlation" sheetId="9" r:id="rId7"/>
    <sheet name="NettingSets" sheetId="10" r:id="rId8"/>
    <sheet name="Trades" sheetId="11" r:id="rId9"/>
    <sheet name="Checks" sheetId="22" r:id="rId10"/>
    <sheet name="Summary" sheetId="12" r:id="rId11"/>
    <sheet name="Charts" sheetId="13" r:id="rId12"/>
    <sheet name="EE_NEE" sheetId="14" r:id="rId13"/>
    <sheet name="TradeExposure" sheetId="15" r:id="rId14"/>
    <sheet name="LegMTM" sheetId="16" r:id="rId15"/>
    <sheet name="SACCR_Legs" sheetId="17" r:id="rId16"/>
    <sheet name="SACCR_Entities" sheetId="18" r:id="rId17"/>
    <sheet name="AnalyticCheck" sheetId="19" r:id="rId18"/>
    <sheet name="GridProfile" sheetId="20" r:id="rId19"/>
    <sheet name="Warnings" sheetId="21" r:id="rId20"/>
    <sheet name="_xlwings.conf" sheetId="2" r:id="rId21"/>
    <sheet name="xlwings.conf" sheetId="23" r:id="rId22"/>
  </sheets>
  <functionGroups builtInGroupCount="19"/>
  <definedNames>
    <definedName name="Action">Control!$B$3</definedName>
    <definedName name="Status">Control!$B$4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3" i="22" l="1"/>
  <c r="P103" i="22"/>
  <c r="O103" i="22"/>
  <c r="N103" i="22"/>
  <c r="M103" i="22"/>
  <c r="L103" i="22"/>
  <c r="K103" i="22"/>
  <c r="J103" i="22"/>
  <c r="I103" i="22"/>
  <c r="H103" i="22"/>
  <c r="G103" i="22"/>
  <c r="F103" i="22"/>
  <c r="E103" i="22"/>
  <c r="D103" i="22"/>
  <c r="C103" i="22"/>
  <c r="B103" i="22"/>
  <c r="A103" i="22"/>
  <c r="Q102" i="22"/>
  <c r="P102" i="22"/>
  <c r="O102" i="22"/>
  <c r="N102" i="22"/>
  <c r="M102" i="22"/>
  <c r="L102" i="22"/>
  <c r="K102" i="22"/>
  <c r="J102" i="22"/>
  <c r="I102" i="22"/>
  <c r="H102" i="22"/>
  <c r="G102" i="22"/>
  <c r="F102" i="22"/>
  <c r="E102" i="22"/>
  <c r="D102" i="22"/>
  <c r="C102" i="22"/>
  <c r="B102" i="22"/>
  <c r="A102" i="22"/>
  <c r="Q101" i="22"/>
  <c r="P101" i="22"/>
  <c r="O101" i="22"/>
  <c r="N101" i="22"/>
  <c r="M101" i="22"/>
  <c r="L101" i="22"/>
  <c r="K101" i="22"/>
  <c r="J101" i="22"/>
  <c r="I101" i="22"/>
  <c r="H101" i="22"/>
  <c r="G101" i="22"/>
  <c r="F101" i="22"/>
  <c r="E101" i="22"/>
  <c r="D101" i="22"/>
  <c r="C101" i="22"/>
  <c r="B101" i="22"/>
  <c r="A101" i="22"/>
  <c r="Q100" i="22"/>
  <c r="P100" i="22"/>
  <c r="O100" i="22"/>
  <c r="N100" i="22"/>
  <c r="M100" i="22"/>
  <c r="L100" i="22"/>
  <c r="K100" i="22"/>
  <c r="J100" i="22"/>
  <c r="I100" i="22"/>
  <c r="H100" i="22"/>
  <c r="G100" i="22"/>
  <c r="F100" i="22"/>
  <c r="E100" i="22"/>
  <c r="D100" i="22"/>
  <c r="C100" i="22"/>
  <c r="B100" i="22"/>
  <c r="A100" i="22"/>
  <c r="Q99" i="22"/>
  <c r="P99" i="22"/>
  <c r="O99" i="22"/>
  <c r="N99" i="22"/>
  <c r="M99" i="22"/>
  <c r="L99" i="22"/>
  <c r="K99" i="22"/>
  <c r="J99" i="22"/>
  <c r="I99" i="22"/>
  <c r="H99" i="22"/>
  <c r="G99" i="22"/>
  <c r="F99" i="22"/>
  <c r="E99" i="22"/>
  <c r="D99" i="22"/>
  <c r="C99" i="22"/>
  <c r="B99" i="22"/>
  <c r="A99" i="22"/>
  <c r="Q98" i="22"/>
  <c r="P98" i="22"/>
  <c r="O98" i="22"/>
  <c r="N98" i="22"/>
  <c r="M98" i="22"/>
  <c r="L98" i="22"/>
  <c r="K98" i="22"/>
  <c r="J98" i="22"/>
  <c r="I98" i="22"/>
  <c r="H98" i="22"/>
  <c r="G98" i="22"/>
  <c r="F98" i="22"/>
  <c r="E98" i="22"/>
  <c r="D98" i="22"/>
  <c r="C98" i="22"/>
  <c r="B98" i="22"/>
  <c r="A98" i="22"/>
  <c r="Q97" i="22"/>
  <c r="P97" i="22"/>
  <c r="O97" i="22"/>
  <c r="N97" i="22"/>
  <c r="M97" i="22"/>
  <c r="L97" i="22"/>
  <c r="K97" i="22"/>
  <c r="J97" i="22"/>
  <c r="I97" i="22"/>
  <c r="H97" i="22"/>
  <c r="G97" i="22"/>
  <c r="F97" i="22"/>
  <c r="E97" i="22"/>
  <c r="D97" i="22"/>
  <c r="C97" i="22"/>
  <c r="B97" i="22"/>
  <c r="A97" i="22"/>
  <c r="Q96" i="22"/>
  <c r="P96" i="22"/>
  <c r="O96" i="22"/>
  <c r="N96" i="22"/>
  <c r="M96" i="22"/>
  <c r="L96" i="22"/>
  <c r="K96" i="22"/>
  <c r="J96" i="22"/>
  <c r="I96" i="22"/>
  <c r="H96" i="22"/>
  <c r="G96" i="22"/>
  <c r="F96" i="22"/>
  <c r="E96" i="22"/>
  <c r="D96" i="22"/>
  <c r="C96" i="22"/>
  <c r="B96" i="22"/>
  <c r="A96" i="22"/>
  <c r="Q95" i="22"/>
  <c r="P95" i="22"/>
  <c r="O95" i="22"/>
  <c r="N95" i="22"/>
  <c r="M95" i="22"/>
  <c r="L95" i="22"/>
  <c r="K95" i="22"/>
  <c r="J95" i="22"/>
  <c r="I95" i="22"/>
  <c r="H95" i="22"/>
  <c r="G95" i="22"/>
  <c r="F95" i="22"/>
  <c r="E95" i="22"/>
  <c r="D95" i="22"/>
  <c r="C95" i="22"/>
  <c r="B95" i="22"/>
  <c r="A95" i="22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C94" i="22"/>
  <c r="B94" i="22"/>
  <c r="A94" i="22"/>
  <c r="Q93" i="22"/>
  <c r="P93" i="22"/>
  <c r="O93" i="22"/>
  <c r="N93" i="22"/>
  <c r="M93" i="22"/>
  <c r="L93" i="22"/>
  <c r="K93" i="22"/>
  <c r="J93" i="22"/>
  <c r="I93" i="22"/>
  <c r="H93" i="22"/>
  <c r="G93" i="22"/>
  <c r="F93" i="22"/>
  <c r="E93" i="22"/>
  <c r="D93" i="22"/>
  <c r="C93" i="22"/>
  <c r="B93" i="22"/>
  <c r="A93" i="22"/>
  <c r="Q92" i="22"/>
  <c r="P92" i="22"/>
  <c r="O92" i="22"/>
  <c r="N92" i="22"/>
  <c r="M92" i="22"/>
  <c r="L92" i="22"/>
  <c r="K92" i="22"/>
  <c r="J92" i="22"/>
  <c r="I92" i="22"/>
  <c r="H92" i="22"/>
  <c r="G92" i="22"/>
  <c r="F92" i="22"/>
  <c r="E92" i="22"/>
  <c r="D92" i="22"/>
  <c r="C92" i="22"/>
  <c r="B92" i="22"/>
  <c r="A92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C91" i="22"/>
  <c r="B91" i="22"/>
  <c r="A91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C90" i="22"/>
  <c r="B90" i="22"/>
  <c r="A90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D89" i="22"/>
  <c r="C89" i="22"/>
  <c r="B89" i="22"/>
  <c r="A89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D88" i="22"/>
  <c r="C88" i="22"/>
  <c r="B88" i="22"/>
  <c r="A88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C87" i="22"/>
  <c r="B87" i="22"/>
  <c r="A87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D86" i="22"/>
  <c r="C86" i="22"/>
  <c r="B86" i="22"/>
  <c r="A86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D85" i="22"/>
  <c r="C85" i="22"/>
  <c r="B85" i="22"/>
  <c r="A85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C84" i="22"/>
  <c r="B84" i="22"/>
  <c r="A84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C83" i="22"/>
  <c r="B83" i="22"/>
  <c r="A83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C82" i="22"/>
  <c r="B82" i="22"/>
  <c r="A82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D81" i="22"/>
  <c r="C81" i="22"/>
  <c r="B81" i="22"/>
  <c r="A81" i="22"/>
  <c r="Q80" i="22"/>
  <c r="P80" i="22"/>
  <c r="O80" i="22"/>
  <c r="N80" i="22"/>
  <c r="M80" i="22"/>
  <c r="L80" i="22"/>
  <c r="K80" i="22"/>
  <c r="J80" i="22"/>
  <c r="I80" i="22"/>
  <c r="H80" i="22"/>
  <c r="G80" i="22"/>
  <c r="F80" i="22"/>
  <c r="E80" i="22"/>
  <c r="D80" i="22"/>
  <c r="C80" i="22"/>
  <c r="B80" i="22"/>
  <c r="A80" i="22"/>
  <c r="Q79" i="22"/>
  <c r="P79" i="22"/>
  <c r="O79" i="22"/>
  <c r="N79" i="22"/>
  <c r="M79" i="22"/>
  <c r="L79" i="22"/>
  <c r="K79" i="22"/>
  <c r="J79" i="22"/>
  <c r="I79" i="22"/>
  <c r="H79" i="22"/>
  <c r="G79" i="22"/>
  <c r="F79" i="22"/>
  <c r="E79" i="22"/>
  <c r="D79" i="22"/>
  <c r="C79" i="22"/>
  <c r="B79" i="22"/>
  <c r="A79" i="22"/>
  <c r="Q78" i="22"/>
  <c r="P78" i="22"/>
  <c r="O78" i="22"/>
  <c r="N78" i="22"/>
  <c r="M78" i="22"/>
  <c r="L78" i="22"/>
  <c r="K78" i="22"/>
  <c r="J78" i="22"/>
  <c r="I78" i="22"/>
  <c r="H78" i="22"/>
  <c r="G78" i="22"/>
  <c r="F78" i="22"/>
  <c r="E78" i="22"/>
  <c r="D78" i="22"/>
  <c r="C78" i="22"/>
  <c r="B78" i="22"/>
  <c r="A78" i="22"/>
  <c r="Q77" i="22"/>
  <c r="P77" i="22"/>
  <c r="O77" i="22"/>
  <c r="N77" i="22"/>
  <c r="M77" i="22"/>
  <c r="L77" i="22"/>
  <c r="K77" i="22"/>
  <c r="J77" i="22"/>
  <c r="I77" i="22"/>
  <c r="H77" i="22"/>
  <c r="G77" i="22"/>
  <c r="F77" i="22"/>
  <c r="E77" i="22"/>
  <c r="D77" i="22"/>
  <c r="C77" i="22"/>
  <c r="B77" i="22"/>
  <c r="A77" i="22"/>
  <c r="Q76" i="22"/>
  <c r="P76" i="22"/>
  <c r="O76" i="22"/>
  <c r="N76" i="22"/>
  <c r="M76" i="22"/>
  <c r="L76" i="22"/>
  <c r="K76" i="22"/>
  <c r="J76" i="22"/>
  <c r="I76" i="22"/>
  <c r="H76" i="22"/>
  <c r="G76" i="22"/>
  <c r="F76" i="22"/>
  <c r="E76" i="22"/>
  <c r="D76" i="22"/>
  <c r="C76" i="22"/>
  <c r="B76" i="22"/>
  <c r="A76" i="22"/>
  <c r="Q75" i="22"/>
  <c r="P75" i="22"/>
  <c r="O75" i="22"/>
  <c r="N75" i="22"/>
  <c r="M75" i="22"/>
  <c r="L75" i="22"/>
  <c r="K75" i="22"/>
  <c r="J75" i="22"/>
  <c r="I75" i="22"/>
  <c r="H75" i="22"/>
  <c r="G75" i="22"/>
  <c r="F75" i="22"/>
  <c r="E75" i="22"/>
  <c r="D75" i="22"/>
  <c r="C75" i="22"/>
  <c r="B75" i="22"/>
  <c r="A75" i="22"/>
  <c r="Q74" i="22"/>
  <c r="P74" i="22"/>
  <c r="O74" i="22"/>
  <c r="N74" i="22"/>
  <c r="M74" i="22"/>
  <c r="L74" i="22"/>
  <c r="K74" i="22"/>
  <c r="J74" i="22"/>
  <c r="I74" i="22"/>
  <c r="H74" i="22"/>
  <c r="G74" i="22"/>
  <c r="F74" i="22"/>
  <c r="E74" i="22"/>
  <c r="D74" i="22"/>
  <c r="C74" i="22"/>
  <c r="B74" i="22"/>
  <c r="A74" i="22"/>
  <c r="Q73" i="22"/>
  <c r="P73" i="22"/>
  <c r="O73" i="22"/>
  <c r="N73" i="22"/>
  <c r="M73" i="22"/>
  <c r="L73" i="22"/>
  <c r="K73" i="22"/>
  <c r="J73" i="22"/>
  <c r="I73" i="22"/>
  <c r="H73" i="22"/>
  <c r="G73" i="22"/>
  <c r="F73" i="22"/>
  <c r="E73" i="22"/>
  <c r="D73" i="22"/>
  <c r="C73" i="22"/>
  <c r="B73" i="22"/>
  <c r="A73" i="22"/>
  <c r="Q72" i="22"/>
  <c r="P72" i="22"/>
  <c r="O72" i="22"/>
  <c r="N72" i="22"/>
  <c r="M72" i="22"/>
  <c r="L72" i="22"/>
  <c r="K72" i="22"/>
  <c r="J72" i="22"/>
  <c r="I72" i="22"/>
  <c r="H72" i="22"/>
  <c r="G72" i="22"/>
  <c r="F72" i="22"/>
  <c r="E72" i="22"/>
  <c r="D72" i="22"/>
  <c r="C72" i="22"/>
  <c r="B72" i="22"/>
  <c r="A72" i="22"/>
  <c r="Q71" i="22"/>
  <c r="P71" i="22"/>
  <c r="O71" i="22"/>
  <c r="N71" i="22"/>
  <c r="M71" i="22"/>
  <c r="L71" i="22"/>
  <c r="K71" i="22"/>
  <c r="J71" i="22"/>
  <c r="I71" i="22"/>
  <c r="H71" i="22"/>
  <c r="G71" i="22"/>
  <c r="F71" i="22"/>
  <c r="E71" i="22"/>
  <c r="D71" i="22"/>
  <c r="C71" i="22"/>
  <c r="B71" i="22"/>
  <c r="A71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E70" i="22"/>
  <c r="D70" i="22"/>
  <c r="C70" i="22"/>
  <c r="B70" i="22"/>
  <c r="A70" i="22"/>
  <c r="Q69" i="22"/>
  <c r="P69" i="22"/>
  <c r="O69" i="22"/>
  <c r="N69" i="22"/>
  <c r="M69" i="22"/>
  <c r="L69" i="22"/>
  <c r="K69" i="22"/>
  <c r="J69" i="22"/>
  <c r="I69" i="22"/>
  <c r="H69" i="22"/>
  <c r="G69" i="22"/>
  <c r="F69" i="22"/>
  <c r="E69" i="22"/>
  <c r="D69" i="22"/>
  <c r="C69" i="22"/>
  <c r="B69" i="22"/>
  <c r="A69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D68" i="22"/>
  <c r="C68" i="22"/>
  <c r="B68" i="22"/>
  <c r="A68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D67" i="22"/>
  <c r="C67" i="22"/>
  <c r="B67" i="22"/>
  <c r="A67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D66" i="22"/>
  <c r="C66" i="22"/>
  <c r="B66" i="22"/>
  <c r="A66" i="22"/>
  <c r="Q65" i="22"/>
  <c r="P65" i="22"/>
  <c r="O65" i="22"/>
  <c r="N65" i="22"/>
  <c r="M65" i="22"/>
  <c r="L65" i="22"/>
  <c r="K65" i="22"/>
  <c r="J65" i="22"/>
  <c r="I65" i="22"/>
  <c r="H65" i="22"/>
  <c r="G65" i="22"/>
  <c r="F65" i="22"/>
  <c r="E65" i="22"/>
  <c r="D65" i="22"/>
  <c r="C65" i="22"/>
  <c r="B65" i="22"/>
  <c r="A65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C64" i="22"/>
  <c r="B64" i="22"/>
  <c r="A64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C63" i="22"/>
  <c r="B63" i="22"/>
  <c r="A63" i="22"/>
  <c r="Q62" i="22"/>
  <c r="P62" i="22"/>
  <c r="O62" i="22"/>
  <c r="N62" i="22"/>
  <c r="M62" i="22"/>
  <c r="L62" i="22"/>
  <c r="K62" i="22"/>
  <c r="J62" i="22"/>
  <c r="I62" i="22"/>
  <c r="H62" i="22"/>
  <c r="G62" i="22"/>
  <c r="F62" i="22"/>
  <c r="E62" i="22"/>
  <c r="D62" i="22"/>
  <c r="C62" i="22"/>
  <c r="B62" i="22"/>
  <c r="A62" i="22"/>
  <c r="Q61" i="22"/>
  <c r="P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C61" i="22"/>
  <c r="B61" i="22"/>
  <c r="A61" i="22"/>
  <c r="Q60" i="22"/>
  <c r="P60" i="22"/>
  <c r="O60" i="22"/>
  <c r="N60" i="22"/>
  <c r="M60" i="22"/>
  <c r="L60" i="22"/>
  <c r="K60" i="22"/>
  <c r="J60" i="22"/>
  <c r="I60" i="22"/>
  <c r="H60" i="22"/>
  <c r="G60" i="22"/>
  <c r="F60" i="22"/>
  <c r="E60" i="22"/>
  <c r="D60" i="22"/>
  <c r="C60" i="22"/>
  <c r="B60" i="22"/>
  <c r="A60" i="22"/>
  <c r="Q59" i="22"/>
  <c r="P59" i="22"/>
  <c r="O59" i="22"/>
  <c r="N59" i="22"/>
  <c r="M59" i="22"/>
  <c r="L59" i="22"/>
  <c r="K59" i="22"/>
  <c r="J59" i="22"/>
  <c r="I59" i="22"/>
  <c r="H59" i="22"/>
  <c r="G59" i="22"/>
  <c r="F59" i="22"/>
  <c r="E59" i="22"/>
  <c r="D59" i="22"/>
  <c r="C59" i="22"/>
  <c r="B59" i="22"/>
  <c r="A59" i="22"/>
  <c r="Q58" i="22"/>
  <c r="P58" i="22"/>
  <c r="O58" i="22"/>
  <c r="N58" i="22"/>
  <c r="M58" i="22"/>
  <c r="L58" i="22"/>
  <c r="K58" i="22"/>
  <c r="J58" i="22"/>
  <c r="I58" i="22"/>
  <c r="H58" i="22"/>
  <c r="G58" i="22"/>
  <c r="F58" i="22"/>
  <c r="E58" i="22"/>
  <c r="D58" i="22"/>
  <c r="C58" i="22"/>
  <c r="B58" i="22"/>
  <c r="A58" i="22"/>
  <c r="Q57" i="22"/>
  <c r="P57" i="22"/>
  <c r="O57" i="22"/>
  <c r="N57" i="22"/>
  <c r="M57" i="22"/>
  <c r="L57" i="22"/>
  <c r="K57" i="22"/>
  <c r="J57" i="22"/>
  <c r="I57" i="22"/>
  <c r="H57" i="22"/>
  <c r="G57" i="22"/>
  <c r="F57" i="22"/>
  <c r="E57" i="22"/>
  <c r="D57" i="22"/>
  <c r="C57" i="22"/>
  <c r="B57" i="22"/>
  <c r="A57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C56" i="22"/>
  <c r="B56" i="22"/>
  <c r="A56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D55" i="22"/>
  <c r="C55" i="22"/>
  <c r="B55" i="22"/>
  <c r="A55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C54" i="22"/>
  <c r="B54" i="22"/>
  <c r="A54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C53" i="22"/>
  <c r="B53" i="22"/>
  <c r="A53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D52" i="22"/>
  <c r="C52" i="22"/>
  <c r="B52" i="22"/>
  <c r="A52" i="22"/>
  <c r="Q51" i="22"/>
  <c r="P51" i="22"/>
  <c r="O51" i="22"/>
  <c r="N51" i="22"/>
  <c r="M51" i="22"/>
  <c r="L51" i="22"/>
  <c r="K51" i="22"/>
  <c r="J51" i="22"/>
  <c r="I51" i="22"/>
  <c r="H51" i="22"/>
  <c r="G51" i="22"/>
  <c r="F51" i="22"/>
  <c r="E51" i="22"/>
  <c r="D51" i="22"/>
  <c r="C51" i="22"/>
  <c r="B51" i="22"/>
  <c r="A51" i="22"/>
  <c r="Q50" i="22"/>
  <c r="P50" i="22"/>
  <c r="O50" i="22"/>
  <c r="N50" i="22"/>
  <c r="M50" i="22"/>
  <c r="L50" i="22"/>
  <c r="K50" i="22"/>
  <c r="J50" i="22"/>
  <c r="I50" i="22"/>
  <c r="H50" i="22"/>
  <c r="G50" i="22"/>
  <c r="F50" i="22"/>
  <c r="E50" i="22"/>
  <c r="D50" i="22"/>
  <c r="C50" i="22"/>
  <c r="B50" i="22"/>
  <c r="A50" i="22"/>
  <c r="Q49" i="22"/>
  <c r="P49" i="22"/>
  <c r="O49" i="22"/>
  <c r="N49" i="22"/>
  <c r="M49" i="22"/>
  <c r="L49" i="22"/>
  <c r="K49" i="22"/>
  <c r="J49" i="22"/>
  <c r="I49" i="22"/>
  <c r="H49" i="22"/>
  <c r="G49" i="22"/>
  <c r="F49" i="22"/>
  <c r="E49" i="22"/>
  <c r="D49" i="22"/>
  <c r="C49" i="22"/>
  <c r="B49" i="22"/>
  <c r="A49" i="22"/>
  <c r="Q48" i="22"/>
  <c r="P48" i="22"/>
  <c r="O48" i="22"/>
  <c r="N48" i="22"/>
  <c r="M48" i="22"/>
  <c r="L48" i="22"/>
  <c r="K48" i="22"/>
  <c r="J48" i="22"/>
  <c r="I48" i="22"/>
  <c r="H48" i="22"/>
  <c r="G48" i="22"/>
  <c r="F48" i="22"/>
  <c r="E48" i="22"/>
  <c r="D48" i="22"/>
  <c r="C48" i="22"/>
  <c r="B48" i="22"/>
  <c r="A48" i="22"/>
  <c r="Q47" i="22"/>
  <c r="P47" i="22"/>
  <c r="O47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B47" i="22"/>
  <c r="A47" i="22"/>
  <c r="Q46" i="22"/>
  <c r="P46" i="22"/>
  <c r="O46" i="22"/>
  <c r="N46" i="22"/>
  <c r="M46" i="22"/>
  <c r="L46" i="22"/>
  <c r="K46" i="22"/>
  <c r="J46" i="22"/>
  <c r="I46" i="22"/>
  <c r="H46" i="22"/>
  <c r="G46" i="22"/>
  <c r="F46" i="22"/>
  <c r="E46" i="22"/>
  <c r="D46" i="22"/>
  <c r="C46" i="22"/>
  <c r="B46" i="22"/>
  <c r="A46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D45" i="22"/>
  <c r="C45" i="22"/>
  <c r="B45" i="22"/>
  <c r="A45" i="22"/>
  <c r="Q44" i="22"/>
  <c r="P44" i="22"/>
  <c r="O44" i="22"/>
  <c r="N44" i="22"/>
  <c r="M44" i="22"/>
  <c r="L44" i="22"/>
  <c r="K44" i="22"/>
  <c r="J44" i="22"/>
  <c r="I44" i="22"/>
  <c r="H44" i="22"/>
  <c r="G44" i="22"/>
  <c r="F44" i="22"/>
  <c r="E44" i="22"/>
  <c r="D44" i="22"/>
  <c r="C44" i="22"/>
  <c r="B44" i="22"/>
  <c r="A44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C43" i="22"/>
  <c r="B43" i="22"/>
  <c r="A43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C42" i="22"/>
  <c r="B42" i="22"/>
  <c r="A42" i="22"/>
  <c r="Q41" i="22"/>
  <c r="P41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B41" i="22"/>
  <c r="A41" i="22"/>
  <c r="Q40" i="22"/>
  <c r="P40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C40" i="22"/>
  <c r="B40" i="22"/>
  <c r="A40" i="22"/>
  <c r="Q39" i="22"/>
  <c r="P39" i="22"/>
  <c r="O39" i="22"/>
  <c r="N39" i="22"/>
  <c r="M39" i="22"/>
  <c r="L39" i="22"/>
  <c r="K39" i="22"/>
  <c r="J39" i="22"/>
  <c r="I39" i="22"/>
  <c r="H39" i="22"/>
  <c r="G39" i="22"/>
  <c r="F39" i="22"/>
  <c r="E39" i="22"/>
  <c r="D39" i="22"/>
  <c r="C39" i="22"/>
  <c r="B39" i="22"/>
  <c r="A39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E38" i="22"/>
  <c r="D38" i="22"/>
  <c r="C38" i="22"/>
  <c r="B38" i="22"/>
  <c r="A38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C37" i="22"/>
  <c r="B37" i="22"/>
  <c r="A37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C36" i="22"/>
  <c r="B36" i="22"/>
  <c r="A36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C35" i="22"/>
  <c r="B35" i="22"/>
  <c r="A35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C34" i="22"/>
  <c r="B34" i="22"/>
  <c r="A34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C33" i="22"/>
  <c r="B33" i="22"/>
  <c r="A33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C32" i="22"/>
  <c r="B32" i="22"/>
  <c r="A32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C31" i="22"/>
  <c r="B31" i="22"/>
  <c r="A31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C30" i="22"/>
  <c r="B30" i="22"/>
  <c r="A30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C29" i="22"/>
  <c r="B29" i="22"/>
  <c r="A29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C28" i="22"/>
  <c r="B28" i="22"/>
  <c r="A28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C27" i="22"/>
  <c r="B27" i="22"/>
  <c r="A27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A26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A25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A24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E23" i="22"/>
  <c r="D23" i="22"/>
  <c r="C23" i="22"/>
  <c r="B23" i="22"/>
  <c r="A23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E22" i="22"/>
  <c r="D22" i="22"/>
  <c r="C22" i="22"/>
  <c r="B22" i="22"/>
  <c r="A22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C21" i="22"/>
  <c r="B21" i="22"/>
  <c r="A21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C20" i="22"/>
  <c r="B20" i="22"/>
  <c r="A20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C19" i="22"/>
  <c r="B19" i="22"/>
  <c r="A19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C18" i="22"/>
  <c r="B18" i="22"/>
  <c r="A18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C17" i="22"/>
  <c r="B17" i="22"/>
  <c r="A17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C16" i="22"/>
  <c r="B16" i="22"/>
  <c r="A16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C15" i="22"/>
  <c r="B15" i="22"/>
  <c r="A15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C14" i="22"/>
  <c r="B14" i="22"/>
  <c r="A14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C13" i="22"/>
  <c r="B13" i="22"/>
  <c r="A13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C12" i="22"/>
  <c r="B12" i="22"/>
  <c r="A12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C11" i="22"/>
  <c r="B11" i="22"/>
  <c r="A11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C10" i="22"/>
  <c r="B10" i="22"/>
  <c r="A10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C9" i="22"/>
  <c r="B9" i="22"/>
  <c r="A9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A8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B7" i="22"/>
  <c r="A7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C6" i="22"/>
  <c r="B6" i="22"/>
  <c r="A6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C5" i="22"/>
  <c r="B5" i="22"/>
  <c r="A5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C4" i="22"/>
  <c r="B4" i="22"/>
  <c r="A4" i="22"/>
  <c r="E1" i="22"/>
  <c r="G31" i="8"/>
  <c r="E31" i="8"/>
  <c r="G30" i="8"/>
  <c r="E30" i="8"/>
  <c r="G29" i="8"/>
  <c r="E29" i="8"/>
  <c r="G28" i="8"/>
  <c r="E28" i="8"/>
  <c r="G27" i="8"/>
  <c r="E27" i="8"/>
  <c r="G26" i="8"/>
  <c r="E26" i="8"/>
  <c r="G25" i="8"/>
  <c r="E25" i="8"/>
  <c r="G24" i="8"/>
  <c r="E24" i="8"/>
  <c r="G23" i="8"/>
  <c r="E23" i="8"/>
  <c r="G22" i="8"/>
  <c r="E22" i="8"/>
  <c r="G21" i="8"/>
  <c r="E21" i="8"/>
  <c r="G20" i="8"/>
  <c r="E20" i="8"/>
  <c r="G19" i="8"/>
  <c r="E19" i="8"/>
  <c r="G18" i="8"/>
  <c r="E18" i="8"/>
  <c r="G17" i="8"/>
  <c r="E17" i="8"/>
  <c r="G16" i="8"/>
  <c r="E16" i="8"/>
  <c r="G15" i="8"/>
  <c r="E15" i="8"/>
  <c r="G14" i="8"/>
  <c r="E14" i="8"/>
  <c r="G13" i="8"/>
  <c r="E13" i="8"/>
  <c r="G12" i="8"/>
  <c r="E12" i="8"/>
  <c r="G11" i="8"/>
  <c r="E11" i="8"/>
  <c r="G10" i="8"/>
  <c r="E10" i="8"/>
  <c r="G9" i="8"/>
  <c r="E9" i="8"/>
  <c r="G8" i="8"/>
  <c r="E8" i="8"/>
  <c r="G7" i="8"/>
  <c r="E7" i="8"/>
  <c r="G6" i="8"/>
  <c r="E6" i="8"/>
  <c r="G5" i="8"/>
  <c r="E5" i="8"/>
  <c r="G4" i="8"/>
  <c r="E4" i="8"/>
  <c r="G3" i="8"/>
  <c r="E3" i="8"/>
  <c r="G2" i="8"/>
  <c r="E2" i="8"/>
  <c r="E2" i="7"/>
  <c r="C2" i="7"/>
  <c r="F17" i="6"/>
  <c r="E17" i="6"/>
  <c r="C17" i="6"/>
  <c r="F16" i="6"/>
  <c r="E16" i="6"/>
  <c r="C16" i="6"/>
  <c r="F15" i="6"/>
  <c r="E15" i="6"/>
  <c r="C15" i="6"/>
  <c r="F14" i="6"/>
  <c r="E14" i="6"/>
  <c r="C14" i="6"/>
  <c r="F13" i="6"/>
  <c r="E13" i="6"/>
  <c r="C13" i="6"/>
  <c r="F12" i="6"/>
  <c r="E12" i="6"/>
  <c r="C12" i="6"/>
  <c r="F11" i="6"/>
  <c r="E11" i="6"/>
  <c r="C11" i="6"/>
  <c r="F10" i="6"/>
  <c r="E10" i="6"/>
  <c r="C10" i="6"/>
  <c r="F9" i="6"/>
  <c r="E9" i="6"/>
  <c r="C9" i="6"/>
  <c r="F8" i="6"/>
  <c r="E8" i="6"/>
  <c r="C8" i="6"/>
  <c r="F7" i="6"/>
  <c r="E7" i="6"/>
  <c r="C7" i="6"/>
  <c r="F6" i="6"/>
  <c r="E6" i="6"/>
  <c r="C6" i="6"/>
  <c r="F5" i="6"/>
  <c r="E5" i="6"/>
  <c r="C5" i="6"/>
  <c r="F4" i="6"/>
  <c r="E4" i="6"/>
  <c r="C4" i="6"/>
  <c r="F3" i="6"/>
  <c r="E3" i="6"/>
  <c r="C3" i="6"/>
  <c r="F2" i="6"/>
  <c r="E2" i="6"/>
  <c r="C2" i="6"/>
  <c r="L4" i="5"/>
  <c r="K4" i="5"/>
  <c r="J4" i="5"/>
  <c r="F4" i="5"/>
  <c r="E4" i="5"/>
  <c r="D4" i="5"/>
  <c r="L3" i="5"/>
  <c r="K3" i="5"/>
  <c r="J3" i="5"/>
  <c r="F3" i="5"/>
  <c r="E3" i="5"/>
  <c r="D3" i="5"/>
  <c r="L2" i="5"/>
  <c r="K2" i="5"/>
  <c r="J2" i="5"/>
  <c r="F2" i="5"/>
  <c r="E2" i="5"/>
  <c r="D2" i="5"/>
</calcChain>
</file>

<file path=xl/sharedStrings.xml><?xml version="1.0" encoding="utf-8"?>
<sst xmlns="http://schemas.openxmlformats.org/spreadsheetml/2006/main" count="449" uniqueCount="227">
  <si>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</si>
  <si>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</si>
  <si>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</si>
  <si>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</si>
  <si>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</si>
  <si>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</si>
  <si>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</si>
  <si>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</si>
  <si>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</si>
  <si>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</si>
  <si>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</si>
  <si>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</si>
  <si>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</si>
  <si>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</si>
  <si>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</si>
  <si>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Equity XVA Exposure Calculator  (EE / NEE / PFE / funding exposure / SA-CCR)</t>
  </si>
  <si>
    <t>Action</t>
  </si>
  <si>
    <t>RUN_ALL</t>
  </si>
  <si>
    <t>Status</t>
  </si>
  <si>
    <t>How to use</t>
  </si>
  <si>
    <t>1. Market / Curve / VolSurface: BDP formulas pull Bloomberg data when the Bloomberg add-in is loaded; any value typed in an *override column wins (overrides are pre-filled with example data).</t>
  </si>
  <si>
    <t>2. NettingSets: one row per netting set / CSA (collateralized Y/N, thresholds, MTA, IA, MPOR in business days).</t>
  </si>
  <si>
    <t>3. Trades: one row per leg; legs sharing a trade_id form one trade (TRS + options, collars, ...). Strike as number or text like 90% (column is text-formatted).</t>
  </si>
  <si>
    <t>Currency: Market.ccy is each stock's currency, NettingSets.csa_ccy the currency of thresholds/MTA/IA, Config.reporting_ccy the currency of every exposure output. Curve needs rows for each currency used (ccy column) and FX the spot for each pair (e.g. USDCAD = CAD per USD). Blank ccy = reporting currency.</t>
  </si>
  <si>
    <t>4. Config: valuation date, time buckets (e.g. 1M,3M,6M,1Y,2Y or EVERY:3M), paths, seed, PFE quantile, output_mode AVERAGE (bucket time-average, recommended for CVA/FVA integration) or POINT.</t>
  </si>
  <si>
    <t>5. Pick an Action and press the button:  RUN_ALL = Monte Carlo + analytic check, RUN_MC, RUN_ANALYTIC, BBG_REFRESH (Python xbbg -&gt; override columns), CLEAR.</t>
  </si>
  <si>
    <t>Outputs: Summary (EPE, EEPE, SA-CCR t0), EE_NEE (per netting set, collateralised &amp; uncollateralised, discounted, FCA/FBA funding exposure, SA-CCR EAD profile), TradeExposure (standalone), LegMTM (incl. OVME reconciliation), SACCR_Legs / SACCR_Entities, AnalyticCheck, Charts.</t>
  </si>
  <si>
    <t>Checks: formula-only Black-Scholes / closed-form values per leg vs. the Python engine.</t>
  </si>
  <si>
    <t>OVME: paste the OVME per-share price in Trades.ovme_price; LegMTM shows engine vs OVME.</t>
  </si>
  <si>
    <t>Python engine: see xlwings.conf sheet (Interpreter_Win, PYTHONPATH). Re-run excel/build_workbook.py after moving the project folder.</t>
  </si>
  <si>
    <t>key</t>
  </si>
  <si>
    <t>value</t>
  </si>
  <si>
    <t>valuation_date</t>
  </si>
  <si>
    <t>buckets</t>
  </si>
  <si>
    <t>1M,3M,6M,9M,1Y,18M,2Y,3Y,4Y,5Y</t>
  </si>
  <si>
    <t>n_paths</t>
  </si>
  <si>
    <t>seed</t>
  </si>
  <si>
    <t>pfe_quantile</t>
  </si>
  <si>
    <t>fine_step</t>
  </si>
  <si>
    <t>1W</t>
  </si>
  <si>
    <t>output_mode</t>
  </si>
  <si>
    <t>AVERAGE</t>
  </si>
  <si>
    <t>antithetic</t>
  </si>
  <si>
    <t>Y</t>
  </si>
  <si>
    <t>epe_horizon</t>
  </si>
  <si>
    <t>1Y</t>
  </si>
  <si>
    <t>analytic_nodes</t>
  </si>
  <si>
    <t>reporting_ccy</t>
  </si>
  <si>
    <t>USD</t>
  </si>
  <si>
    <t>underlying</t>
  </si>
  <si>
    <t>bbg_ticker</t>
  </si>
  <si>
    <t>is_index</t>
  </si>
  <si>
    <t>bbg_spot</t>
  </si>
  <si>
    <t>bbg_div_yield</t>
  </si>
  <si>
    <t>bbg_atm_vol</t>
  </si>
  <si>
    <t>spot_override</t>
  </si>
  <si>
    <t>div_yield_override</t>
  </si>
  <si>
    <t>vol_override</t>
  </si>
  <si>
    <t>spot</t>
  </si>
  <si>
    <t>div_yield</t>
  </si>
  <si>
    <t>flat_vol</t>
  </si>
  <si>
    <t>ccy</t>
  </si>
  <si>
    <t>STOCK_A</t>
  </si>
  <si>
    <t>AAPL US Equity</t>
  </si>
  <si>
    <t>N</t>
  </si>
  <si>
    <t>INDEX_X</t>
  </si>
  <si>
    <t>SPX Index</t>
  </si>
  <si>
    <t>STOCK_CA</t>
  </si>
  <si>
    <t>TOU CN Equity</t>
  </si>
  <si>
    <t>CAD</t>
  </si>
  <si>
    <t>tenor</t>
  </si>
  <si>
    <t>bbg_par_rate_pct</t>
  </si>
  <si>
    <t>override</t>
  </si>
  <si>
    <t>zero_rate</t>
  </si>
  <si>
    <t>t_years</t>
  </si>
  <si>
    <t>note</t>
  </si>
  <si>
    <t>1M</t>
  </si>
  <si>
    <t>USOSFRA Curncy</t>
  </si>
  <si>
    <t>3M</t>
  </si>
  <si>
    <t>USOSFRC Curncy</t>
  </si>
  <si>
    <t>6M</t>
  </si>
  <si>
    <t>USOSFRF Curncy</t>
  </si>
  <si>
    <t>USOSFR1 Curncy</t>
  </si>
  <si>
    <t>2Y</t>
  </si>
  <si>
    <t>USOSFR2 Curncy</t>
  </si>
  <si>
    <t>3Y</t>
  </si>
  <si>
    <t>USOSFR3 Curncy</t>
  </si>
  <si>
    <t>5Y</t>
  </si>
  <si>
    <t>USOSFR5 Curncy</t>
  </si>
  <si>
    <t>10Y</t>
  </si>
  <si>
    <t>USOSFR10 Curncy</t>
  </si>
  <si>
    <t>CAD OIS: enter the par-rate ticker (verify on SECF/FLDS) or an override</t>
  </si>
  <si>
    <t>pair</t>
  </si>
  <si>
    <t>USDCAD</t>
  </si>
  <si>
    <t>USDCAD Curncy</t>
  </si>
  <si>
    <t>pair BASEQUOTE: 1 BASE = spot QUOTE (USDCAD 1.40 = C$1.40 per US$1)</t>
  </si>
  <si>
    <t>moneyness</t>
  </si>
  <si>
    <t>bbg_field</t>
  </si>
  <si>
    <t>bbg_vol</t>
  </si>
  <si>
    <t>vol</t>
  </si>
  <si>
    <t>30DAY_IMPVOL_80.0%MNY_DF</t>
  </si>
  <si>
    <t>30DAY_IMPVOL_90.0%MNY_DF</t>
  </si>
  <si>
    <t>30DAY_IMPVOL_100.0%MNY_DF</t>
  </si>
  <si>
    <t>30DAY_IMPVOL_110.0%MNY_DF</t>
  </si>
  <si>
    <t>30DAY_IMPVOL_120.0%MNY_DF</t>
  </si>
  <si>
    <t>3MTH_IMPVOL_80.0%MNY_DF</t>
  </si>
  <si>
    <t>3MTH_IMPVOL_90.0%MNY_DF</t>
  </si>
  <si>
    <t>3MTH_IMPVOL_100.0%MNY_DF</t>
  </si>
  <si>
    <t>3MTH_IMPVOL_110.0%MNY_DF</t>
  </si>
  <si>
    <t>3MTH_IMPVOL_120.0%MNY_DF</t>
  </si>
  <si>
    <t>6MTH_IMPVOL_80.0%MNY_DF</t>
  </si>
  <si>
    <t>6MTH_IMPVOL_90.0%MNY_DF</t>
  </si>
  <si>
    <t>6MTH_IMPVOL_100.0%MNY_DF</t>
  </si>
  <si>
    <t>6MTH_IMPVOL_110.0%MNY_DF</t>
  </si>
  <si>
    <t>6MTH_IMPVOL_120.0%MNY_DF</t>
  </si>
  <si>
    <t>12MTH_IMPVOL_80.0%MNY_DF</t>
  </si>
  <si>
    <t>12MTH_IMPVOL_90.0%MNY_DF</t>
  </si>
  <si>
    <t>12MTH_IMPVOL_100.0%MNY_DF</t>
  </si>
  <si>
    <t>12MTH_IMPVOL_110.0%MNY_DF</t>
  </si>
  <si>
    <t>12MTH_IMPVOL_120.0%MNY_DF</t>
  </si>
  <si>
    <t>24MTH_IMPVOL_80.0%MNY_DF</t>
  </si>
  <si>
    <t>24MTH_IMPVOL_90.0%MNY_DF</t>
  </si>
  <si>
    <t>24MTH_IMPVOL_100.0%MNY_DF</t>
  </si>
  <si>
    <t>24MTH_IMPVOL_110.0%MNY_DF</t>
  </si>
  <si>
    <t>24MTH_IMPVOL_120.0%MNY_DF</t>
  </si>
  <si>
    <t>underlying1</t>
  </si>
  <si>
    <t>underlying2</t>
  </si>
  <si>
    <t>rho</t>
  </si>
  <si>
    <t>netting_set</t>
  </si>
  <si>
    <t>counterparty</t>
  </si>
  <si>
    <t>collateralized</t>
  </si>
  <si>
    <t>threshold_cp</t>
  </si>
  <si>
    <t>threshold_bank</t>
  </si>
  <si>
    <t>mta</t>
  </si>
  <si>
    <t>ia_received</t>
  </si>
  <si>
    <t>ia_posted</t>
  </si>
  <si>
    <t>ia_posted_segregated</t>
  </si>
  <si>
    <t>mpor_days</t>
  </si>
  <si>
    <t>rounding</t>
  </si>
  <si>
    <t>csa_ccy</t>
  </si>
  <si>
    <t>NS_ALPHA</t>
  </si>
  <si>
    <t>Alpha Fund</t>
  </si>
  <si>
    <t>NS_BETA</t>
  </si>
  <si>
    <t>Beta Capital</t>
  </si>
  <si>
    <t>NS_GAMMA</t>
  </si>
  <si>
    <t>Gamma Partners</t>
  </si>
  <si>
    <t>NS_DELTA</t>
  </si>
  <si>
    <t>Delta Pension</t>
  </si>
  <si>
    <t>NS_EPSILON</t>
  </si>
  <si>
    <t>Epsilon Asset Mgmt</t>
  </si>
  <si>
    <t>trade_id</t>
  </si>
  <si>
    <t>leg_id</t>
  </si>
  <si>
    <t>leg_type</t>
  </si>
  <si>
    <t>direction</t>
  </si>
  <si>
    <t>shares</t>
  </si>
  <si>
    <t>start_date</t>
  </si>
  <si>
    <t>maturity</t>
  </si>
  <si>
    <t>equity_reset_freq</t>
  </si>
  <si>
    <t>funding_reset_freq</t>
  </si>
  <si>
    <t>funding_spread</t>
  </si>
  <si>
    <t>notional_basis</t>
  </si>
  <si>
    <t>avg_price</t>
  </si>
  <si>
    <t>initial_mtm</t>
  </si>
  <si>
    <t>div_passthrough</t>
  </si>
  <si>
    <t>option_type</t>
  </si>
  <si>
    <t>strike</t>
  </si>
  <si>
    <t>option_maturity</t>
  </si>
  <si>
    <t>ovme_price</t>
  </si>
  <si>
    <t>comment</t>
  </si>
  <si>
    <t>T001</t>
  </si>
  <si>
    <t>L1</t>
  </si>
  <si>
    <t>TRS</t>
  </si>
  <si>
    <t>RECEIVE_EQUITY</t>
  </si>
  <si>
    <t>CURRENT</t>
  </si>
  <si>
    <t/>
  </si>
  <si>
    <t>TRS, quarterly equity reset</t>
  </si>
  <si>
    <t>T002</t>
  </si>
  <si>
    <t>PAY_EQUITY</t>
  </si>
  <si>
    <t>NONE</t>
  </si>
  <si>
    <t>TRS, no reset (bank pays equity)</t>
  </si>
  <si>
    <t>T003</t>
  </si>
  <si>
    <t>Extension: notional on previous average price 92 (MTM embedded in strike)</t>
  </si>
  <si>
    <t>T004</t>
  </si>
  <si>
    <t>18M</t>
  </si>
  <si>
    <t>Extension re-struck at spot with carried initial MTM 250k</t>
  </si>
  <si>
    <t>T005</t>
  </si>
  <si>
    <t>TRS + protective put</t>
  </si>
  <si>
    <t>L2</t>
  </si>
  <si>
    <t>OPTION</t>
  </si>
  <si>
    <t>SELL</t>
  </si>
  <si>
    <t>PUT</t>
  </si>
  <si>
    <t>90%</t>
  </si>
  <si>
    <t>bank sells put to the client alongside TRS</t>
  </si>
  <si>
    <t>T006</t>
  </si>
  <si>
    <t>BUY</t>
  </si>
  <si>
    <t>collar: long put</t>
  </si>
  <si>
    <t>CALL</t>
  </si>
  <si>
    <t>115%</t>
  </si>
  <si>
    <t>collar: short call</t>
  </si>
  <si>
    <t>T007</t>
  </si>
  <si>
    <t>95%</t>
  </si>
  <si>
    <t>short index put</t>
  </si>
  <si>
    <t>T008</t>
  </si>
  <si>
    <t>5200</t>
  </si>
  <si>
    <t>long index call</t>
  </si>
  <si>
    <t>T009</t>
  </si>
  <si>
    <t>index TRS, semi-annual reset</t>
  </si>
  <si>
    <t>T010</t>
  </si>
  <si>
    <t>75.0</t>
  </si>
  <si>
    <t>CAD stock call under a CAD CSA (C$ thresholds), reported in USD</t>
  </si>
  <si>
    <t>mtm0</t>
  </si>
  <si>
    <t>EE horizon t (yrs)</t>
  </si>
  <si>
    <t>Valuation date</t>
  </si>
  <si>
    <t>Formula-only closed forms in the leg currency: options = Black-Scholes (flat vol, step zero rate from the underlying's currency curve); TRS MTM0 is approximate (spread annuity on initial notional); standalone EE at t: long option = V0/DF(t), short option = 0, no-reset TRS = Black on the forward (spread ignored).</t>
  </si>
  <si>
    <t>S0</t>
  </si>
  <si>
    <t>q</t>
  </si>
  <si>
    <t>T_yrs</t>
  </si>
  <si>
    <t>r(T)</t>
  </si>
  <si>
    <t>K_or_ref</t>
  </si>
  <si>
    <t>sign</t>
  </si>
  <si>
    <t>d1</t>
  </si>
  <si>
    <t>MTM0_excel</t>
  </si>
  <si>
    <t>MTM0_python</t>
  </si>
  <si>
    <t>diff</t>
  </si>
  <si>
    <t>EE_t_excel</t>
  </si>
  <si>
    <t>C:\Users\zhang\Documents\Xiaoli\AI\equity_pricing\.venv\Scripts\python.exe</t>
  </si>
  <si>
    <t>C:\Users\zhang\Documents\Xiaoli\AI\equity_pricing\src;C:\Users\zhang\Documents\Xiaoli\AI\equity_pricing\excel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</si>
</sst>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"/>
  </numFmts>
  <fonts count="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2EFDA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0" fillId="2" borderId="0" xfId="0" applyFill="1"/>
    <xf numFmtId="0" fontId="2" fillId="0" borderId="0" xfId="0" applyFont="1"/>
    <xf numFmtId="14" fontId="0" fillId="0" borderId="0" xfId="0" applyNumberFormat="1"/>
    <xf numFmtId="0" fontId="4" fillId="3" borderId="0" xfId="0" applyFont="1" applyFill="1"/>
    <xf numFmtId="14" fontId="0" fillId="2" borderId="0" xfId="0" applyNumberFormat="1" applyFill="1"/>
    <xf numFmtId="0" fontId="0" fillId="4" borderId="0" xfId="0" applyFill="1"/>
    <xf numFmtId="49" fontId="0" fillId="0" borderId="0" xfId="0" applyNumberFormat="1"/>
    <xf numFmtId="49" fontId="4" fillId="3" borderId="0" xfId="0" applyNumberFormat="1" applyFont="1" applyFill="1"/>
    <xf numFmtId="49" fontId="0" fillId="2" borderId="0" xfId="0" applyNumberFormat="1" applyFill="1"/>
    <xf numFmtId="164" fontId="0" fillId="0" borderId="0" xfId="0" applyNumberFormat="1"/>
    <xf numFmtId="4" fontId="0" fillId="0" borderId="0" xfId="0" applyNumberFormat="1"/>
    <xf numFmtId="0" fontId="0" fillId="0" borderId="0" xfId="0" applyAlignmen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190500</xdr:rowOff>
        </xdr:from>
        <xdr:to>
          <xdr:col>6</xdr:col>
          <xdr:colOff>323850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2452451-096E-6617-28A2-BFE202E9C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selected Action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29E98-4F46-4A3B-A52C-3514479036DB}">
  <dimension ref="A1:B17"/>
  <sheetViews>
    <sheetView tabSelected="1" workbookViewId="0"/>
  </sheetViews>
  <sheetFormatPr defaultRowHeight="15.5" x14ac:dyDescent="0.35"/>
  <cols>
    <col min="1" max="1" width="14.58203125" customWidth="1"/>
    <col min="2" max="2" width="60.58203125" customWidth="1"/>
  </cols>
  <sheetData>
    <row r="1" spans="1:2" ht="18.5" x14ac:dyDescent="0.45">
      <c r="A1" s="3" t="s">
        <v>15</v>
      </c>
    </row>
    <row r="3" spans="1:2" x14ac:dyDescent="0.35">
      <c r="A3" s="5" t="s">
        <v>16</v>
      </c>
      <c r="B3" s="4" t="s">
        <v>17</v>
      </c>
    </row>
    <row r="4" spans="1:2" x14ac:dyDescent="0.35">
      <c r="A4" s="5" t="s">
        <v>18</v>
      </c>
    </row>
    <row r="7" spans="1:2" x14ac:dyDescent="0.35">
      <c r="A7" s="5" t="s">
        <v>19</v>
      </c>
    </row>
    <row r="8" spans="1:2" x14ac:dyDescent="0.35">
      <c r="A8" t="s">
        <v>20</v>
      </c>
    </row>
    <row r="9" spans="1:2" x14ac:dyDescent="0.35">
      <c r="A9" t="s">
        <v>21</v>
      </c>
    </row>
    <row r="10" spans="1:2" x14ac:dyDescent="0.35">
      <c r="A10" t="s">
        <v>22</v>
      </c>
    </row>
    <row r="11" spans="1:2" x14ac:dyDescent="0.35">
      <c r="A11" t="s">
        <v>23</v>
      </c>
    </row>
    <row r="12" spans="1:2" x14ac:dyDescent="0.35">
      <c r="A12" t="s">
        <v>24</v>
      </c>
    </row>
    <row r="13" spans="1:2" x14ac:dyDescent="0.35">
      <c r="A13" t="s">
        <v>25</v>
      </c>
    </row>
    <row r="14" spans="1:2" x14ac:dyDescent="0.35">
      <c r="A14" t="s">
        <v>26</v>
      </c>
    </row>
    <row r="15" spans="1:2" x14ac:dyDescent="0.35">
      <c r="A15" t="s">
        <v>27</v>
      </c>
    </row>
    <row r="16" spans="1:2" x14ac:dyDescent="0.35">
      <c r="A16" t="s">
        <v>28</v>
      </c>
    </row>
    <row r="17" spans="1:1" x14ac:dyDescent="0.35">
      <c r="A17" t="s">
        <v>29</v>
      </c>
    </row>
  </sheetData>
  <dataValidations count="1">
    <dataValidation type="list" allowBlank="1" showInputMessage="1" showErrorMessage="1" sqref="B3" xr:uid="{DCFE3B9C-908B-43A0-BBB8-3EBA3F5EC81A}">
      <formula1>"RUN_ALL,RUN_MC,RUN_ANALYTIC,BBG_REFRESH,CLEAR"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mpleCall">
                <anchor moveWithCells="1" sizeWithCells="1">
                  <from>
                    <xdr:col>3</xdr:col>
                    <xdr:colOff>12700</xdr:colOff>
                    <xdr:row>1</xdr:row>
                    <xdr:rowOff>190500</xdr:rowOff>
                  </from>
                  <to>
                    <xdr:col>6</xdr:col>
                    <xdr:colOff>323850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5814B-BD7C-4322-AA54-4C5818E867DC}">
  <dimension ref="A1:B12"/>
  <sheetViews>
    <sheetView workbookViewId="0"/>
  </sheetViews>
  <sheetFormatPr defaultRowHeight="15.5" x14ac:dyDescent="0.35"/>
  <cols>
    <col min="1" max="1" width="13.4140625" bestFit="1" customWidth="1"/>
    <col min="2" max="2" width="30.4140625" bestFit="1" customWidth="1"/>
  </cols>
  <sheetData>
    <row r="1" spans="1:2" x14ac:dyDescent="0.35">
      <c r="A1" s="7" t="s">
        <v>30</v>
      </c>
      <c r="B1" s="7" t="s">
        <v>31</v>
      </c>
    </row>
    <row r="2" spans="1:2" x14ac:dyDescent="0.35">
      <c r="A2" s="4" t="s">
        <v>32</v>
      </c>
      <c r="B2" s="8">
        <v>46304</v>
      </c>
    </row>
    <row r="3" spans="1:2" x14ac:dyDescent="0.35">
      <c r="A3" s="4" t="s">
        <v>33</v>
      </c>
      <c r="B3" s="4" t="s">
        <v>34</v>
      </c>
    </row>
    <row r="4" spans="1:2" x14ac:dyDescent="0.35">
      <c r="A4" s="4" t="s">
        <v>35</v>
      </c>
      <c r="B4" s="4">
        <v>10000</v>
      </c>
    </row>
    <row r="5" spans="1:2" x14ac:dyDescent="0.35">
      <c r="A5" s="4" t="s">
        <v>36</v>
      </c>
      <c r="B5" s="4">
        <v>42</v>
      </c>
    </row>
    <row r="6" spans="1:2" x14ac:dyDescent="0.35">
      <c r="A6" s="4" t="s">
        <v>37</v>
      </c>
      <c r="B6" s="4">
        <v>0.95</v>
      </c>
    </row>
    <row r="7" spans="1:2" x14ac:dyDescent="0.35">
      <c r="A7" s="4" t="s">
        <v>38</v>
      </c>
      <c r="B7" s="4" t="s">
        <v>39</v>
      </c>
    </row>
    <row r="8" spans="1:2" x14ac:dyDescent="0.35">
      <c r="A8" s="4" t="s">
        <v>40</v>
      </c>
      <c r="B8" s="4" t="s">
        <v>41</v>
      </c>
    </row>
    <row r="9" spans="1:2" x14ac:dyDescent="0.35">
      <c r="A9" s="4" t="s">
        <v>42</v>
      </c>
      <c r="B9" s="4" t="s">
        <v>43</v>
      </c>
    </row>
    <row r="10" spans="1:2" x14ac:dyDescent="0.35">
      <c r="A10" s="4" t="s">
        <v>44</v>
      </c>
      <c r="B10" s="4" t="s">
        <v>45</v>
      </c>
    </row>
    <row r="11" spans="1:2" x14ac:dyDescent="0.35">
      <c r="A11" s="4" t="s">
        <v>46</v>
      </c>
      <c r="B11" s="4">
        <v>201</v>
      </c>
    </row>
    <row r="12" spans="1:2" x14ac:dyDescent="0.35">
      <c r="A12" s="4" t="s">
        <v>47</v>
      </c>
      <c r="B12" s="4" t="s">
        <v>48</v>
      </c>
    </row>
  </sheetData>
  <dataValidations count="1">
    <dataValidation type="list" allowBlank="1" showInputMessage="1" showErrorMessage="1" sqref="B8" xr:uid="{D726758E-4842-4484-BE07-5E9338D202A4}">
      <formula1>"AVERAGE,POINT"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64EF4-96F3-4290-B1A1-FC5F868D4B11}">
  <dimension ref="A1:M4"/>
  <sheetViews>
    <sheetView workbookViewId="0"/>
  </sheetViews>
  <sheetFormatPr defaultRowHeight="15.5" x14ac:dyDescent="0.35"/>
  <cols>
    <col min="1" max="1" width="10.08203125" bestFit="1" customWidth="1"/>
    <col min="2" max="2" width="13.25" bestFit="1" customWidth="1"/>
    <col min="3" max="3" width="7.75" bestFit="1" customWidth="1"/>
    <col min="4" max="4" width="8.83203125" bestFit="1" customWidth="1"/>
    <col min="5" max="5" width="13" bestFit="1" customWidth="1"/>
    <col min="6" max="6" width="12.08203125" bestFit="1" customWidth="1"/>
    <col min="7" max="7" width="13" bestFit="1" customWidth="1"/>
    <col min="8" max="8" width="17.08203125" bestFit="1" customWidth="1"/>
    <col min="9" max="9" width="11.75" bestFit="1" customWidth="1"/>
    <col min="10" max="10" width="5.83203125" bestFit="1" customWidth="1"/>
    <col min="11" max="11" width="8.58203125" bestFit="1" customWidth="1"/>
    <col min="12" max="12" width="7.33203125" bestFit="1" customWidth="1"/>
    <col min="13" max="13" width="4.33203125" bestFit="1" customWidth="1"/>
  </cols>
  <sheetData>
    <row r="1" spans="1:13" x14ac:dyDescent="0.35">
      <c r="A1" s="7" t="s">
        <v>49</v>
      </c>
      <c r="B1" s="7" t="s">
        <v>50</v>
      </c>
      <c r="C1" s="7" t="s">
        <v>51</v>
      </c>
      <c r="D1" s="7" t="s">
        <v>52</v>
      </c>
      <c r="E1" s="7" t="s">
        <v>53</v>
      </c>
      <c r="F1" s="7" t="s">
        <v>54</v>
      </c>
      <c r="G1" s="7" t="s">
        <v>55</v>
      </c>
      <c r="H1" s="7" t="s">
        <v>56</v>
      </c>
      <c r="I1" s="7" t="s">
        <v>57</v>
      </c>
      <c r="J1" s="7" t="s">
        <v>58</v>
      </c>
      <c r="K1" s="7" t="s">
        <v>59</v>
      </c>
      <c r="L1" s="7" t="s">
        <v>60</v>
      </c>
      <c r="M1" s="7" t="s">
        <v>61</v>
      </c>
    </row>
    <row r="2" spans="1:13" x14ac:dyDescent="0.35">
      <c r="A2" s="4" t="s">
        <v>62</v>
      </c>
      <c r="B2" s="4" t="s">
        <v>63</v>
      </c>
      <c r="C2" s="4" t="s">
        <v>64</v>
      </c>
      <c r="D2" t="str">
        <f ca="1">IFERROR(BDP(B2,"PX_LAST"),"")</f>
        <v/>
      </c>
      <c r="E2" t="str">
        <f ca="1">IFERROR(BDP(B2,"EQY_DVD_YLD_IND")/100,"")</f>
        <v/>
      </c>
      <c r="F2" t="str">
        <f ca="1">IFERROR(BDP(B2,"12MTH_IMPVOL_100.0%MNY_DF")/100,"")</f>
        <v/>
      </c>
      <c r="G2" s="4">
        <v>100</v>
      </c>
      <c r="H2" s="4">
        <v>1.4999999999999999E-2</v>
      </c>
      <c r="I2" s="4">
        <v>0.28000000000000003</v>
      </c>
      <c r="J2" s="9">
        <f>IF(G2&lt;&gt;"",G2,D2)</f>
        <v>100</v>
      </c>
      <c r="K2" s="9">
        <f>IF(H2&lt;&gt;"",H2,E2)</f>
        <v>1.4999999999999999E-2</v>
      </c>
      <c r="L2" s="9">
        <f>IF(I2&lt;&gt;"",I2,F2)</f>
        <v>0.28000000000000003</v>
      </c>
      <c r="M2" s="4" t="s">
        <v>48</v>
      </c>
    </row>
    <row r="3" spans="1:13" x14ac:dyDescent="0.35">
      <c r="A3" s="4" t="s">
        <v>65</v>
      </c>
      <c r="B3" s="4" t="s">
        <v>66</v>
      </c>
      <c r="C3" s="4" t="s">
        <v>43</v>
      </c>
      <c r="D3" t="str">
        <f ca="1">IFERROR(BDP(B3,"PX_LAST"),"")</f>
        <v/>
      </c>
      <c r="E3" t="str">
        <f ca="1">IFERROR(BDP(B3,"EQY_DVD_YLD_IND")/100,"")</f>
        <v/>
      </c>
      <c r="F3" t="str">
        <f ca="1">IFERROR(BDP(B3,"12MTH_IMPVOL_100.0%MNY_DF")/100,"")</f>
        <v/>
      </c>
      <c r="G3" s="4">
        <v>5000</v>
      </c>
      <c r="H3" s="4">
        <v>1.7999999999999999E-2</v>
      </c>
      <c r="I3" s="4">
        <v>0.18</v>
      </c>
      <c r="J3" s="9">
        <f>IF(G3&lt;&gt;"",G3,D3)</f>
        <v>5000</v>
      </c>
      <c r="K3" s="9">
        <f>IF(H3&lt;&gt;"",H3,E3)</f>
        <v>1.7999999999999999E-2</v>
      </c>
      <c r="L3" s="9">
        <f>IF(I3&lt;&gt;"",I3,F3)</f>
        <v>0.18</v>
      </c>
      <c r="M3" s="4" t="s">
        <v>48</v>
      </c>
    </row>
    <row r="4" spans="1:13" x14ac:dyDescent="0.35">
      <c r="A4" s="4" t="s">
        <v>67</v>
      </c>
      <c r="B4" s="4" t="s">
        <v>68</v>
      </c>
      <c r="C4" s="4" t="s">
        <v>64</v>
      </c>
      <c r="D4" t="str">
        <f ca="1">IFERROR(BDP(B4,"PX_LAST"),"")</f>
        <v/>
      </c>
      <c r="E4" t="str">
        <f ca="1">IFERROR(BDP(B4,"EQY_DVD_YLD_IND")/100,"")</f>
        <v/>
      </c>
      <c r="F4" t="str">
        <f ca="1">IFERROR(BDP(B4,"12MTH_IMPVOL_100.0%MNY_DF")/100,"")</f>
        <v/>
      </c>
      <c r="G4" s="4">
        <v>67.44</v>
      </c>
      <c r="H4" s="4">
        <v>2.9700000000000001E-2</v>
      </c>
      <c r="I4" s="4">
        <v>0.2576</v>
      </c>
      <c r="J4" s="9">
        <f>IF(G4&lt;&gt;"",G4,D4)</f>
        <v>67.44</v>
      </c>
      <c r="K4" s="9">
        <f>IF(H4&lt;&gt;"",H4,E4)</f>
        <v>2.9700000000000001E-2</v>
      </c>
      <c r="L4" s="9">
        <f>IF(I4&lt;&gt;"",I4,F4)</f>
        <v>0.2576</v>
      </c>
      <c r="M4" s="4" t="s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BA42-1AFF-4B34-822A-FD7A7C0B7628}">
  <dimension ref="A1:H17"/>
  <sheetViews>
    <sheetView workbookViewId="0"/>
  </sheetViews>
  <sheetFormatPr defaultRowHeight="15.5" x14ac:dyDescent="0.35"/>
  <cols>
    <col min="1" max="1" width="5.58203125" bestFit="1" customWidth="1"/>
    <col min="2" max="2" width="15.33203125" bestFit="1" customWidth="1"/>
    <col min="3" max="3" width="16.33203125" bestFit="1" customWidth="1"/>
    <col min="4" max="4" width="8.08203125" bestFit="1" customWidth="1"/>
    <col min="5" max="5" width="9" bestFit="1" customWidth="1"/>
    <col min="6" max="6" width="11.83203125" bestFit="1" customWidth="1"/>
    <col min="7" max="7" width="4.33203125" bestFit="1" customWidth="1"/>
    <col min="8" max="8" width="59" bestFit="1" customWidth="1"/>
  </cols>
  <sheetData>
    <row r="1" spans="1:8" x14ac:dyDescent="0.35">
      <c r="A1" s="7" t="s">
        <v>70</v>
      </c>
      <c r="B1" s="7" t="s">
        <v>50</v>
      </c>
      <c r="C1" s="7" t="s">
        <v>71</v>
      </c>
      <c r="D1" s="7" t="s">
        <v>72</v>
      </c>
      <c r="E1" s="7" t="s">
        <v>73</v>
      </c>
      <c r="F1" s="7" t="s">
        <v>74</v>
      </c>
      <c r="G1" s="7" t="s">
        <v>61</v>
      </c>
      <c r="H1" s="7" t="s">
        <v>75</v>
      </c>
    </row>
    <row r="2" spans="1:8" x14ac:dyDescent="0.35">
      <c r="A2" s="4" t="s">
        <v>76</v>
      </c>
      <c r="B2" s="4" t="s">
        <v>77</v>
      </c>
      <c r="C2" t="str">
        <f ca="1">IFERROR(BDP(B2,"PX_LAST"),"")</f>
        <v/>
      </c>
      <c r="D2" s="4">
        <v>4.1000000000000002E-2</v>
      </c>
      <c r="E2" s="9">
        <f>IF(D2&lt;&gt;"",D2,IF(ISNUMBER(C2),LN(1+C2/100),""))</f>
        <v>4.1000000000000002E-2</v>
      </c>
      <c r="F2" s="9">
        <f>VALUE(LEFT(A2,LEN(A2)-1))*CHOOSE(MATCH(RIGHT(A2,1),{"D","W","M","Y"},0),1/365,7/365,1/12,1)</f>
        <v>8.3333333333333329E-2</v>
      </c>
      <c r="G2" s="4" t="s">
        <v>48</v>
      </c>
    </row>
    <row r="3" spans="1:8" x14ac:dyDescent="0.35">
      <c r="A3" s="4" t="s">
        <v>78</v>
      </c>
      <c r="B3" s="4" t="s">
        <v>79</v>
      </c>
      <c r="C3" t="str">
        <f ca="1">IFERROR(BDP(B3,"PX_LAST"),"")</f>
        <v/>
      </c>
      <c r="D3" s="4">
        <v>4.0500000000000001E-2</v>
      </c>
      <c r="E3" s="9">
        <f>IF(D3&lt;&gt;"",D3,IF(ISNUMBER(C3),LN(1+C3/100),""))</f>
        <v>4.0500000000000001E-2</v>
      </c>
      <c r="F3" s="9">
        <f>VALUE(LEFT(A3,LEN(A3)-1))*CHOOSE(MATCH(RIGHT(A3,1),{"D","W","M","Y"},0),1/365,7/365,1/12,1)</f>
        <v>0.25</v>
      </c>
      <c r="G3" s="4" t="s">
        <v>48</v>
      </c>
    </row>
    <row r="4" spans="1:8" x14ac:dyDescent="0.35">
      <c r="A4" s="4" t="s">
        <v>80</v>
      </c>
      <c r="B4" s="4" t="s">
        <v>81</v>
      </c>
      <c r="C4" t="str">
        <f ca="1">IFERROR(BDP(B4,"PX_LAST"),"")</f>
        <v/>
      </c>
      <c r="D4" s="4">
        <v>3.95E-2</v>
      </c>
      <c r="E4" s="9">
        <f>IF(D4&lt;&gt;"",D4,IF(ISNUMBER(C4),LN(1+C4/100),""))</f>
        <v>3.95E-2</v>
      </c>
      <c r="F4" s="9">
        <f>VALUE(LEFT(A4,LEN(A4)-1))*CHOOSE(MATCH(RIGHT(A4,1),{"D","W","M","Y"},0),1/365,7/365,1/12,1)</f>
        <v>0.5</v>
      </c>
      <c r="G4" s="4" t="s">
        <v>48</v>
      </c>
    </row>
    <row r="5" spans="1:8" x14ac:dyDescent="0.35">
      <c r="A5" s="4" t="s">
        <v>45</v>
      </c>
      <c r="B5" s="4" t="s">
        <v>82</v>
      </c>
      <c r="C5" t="str">
        <f ca="1">IFERROR(BDP(B5,"PX_LAST"),"")</f>
        <v/>
      </c>
      <c r="D5" s="4">
        <v>3.7999999999999999E-2</v>
      </c>
      <c r="E5" s="9">
        <f>IF(D5&lt;&gt;"",D5,IF(ISNUMBER(C5),LN(1+C5/100),""))</f>
        <v>3.7999999999999999E-2</v>
      </c>
      <c r="F5" s="9">
        <f>VALUE(LEFT(A5,LEN(A5)-1))*CHOOSE(MATCH(RIGHT(A5,1),{"D","W","M","Y"},0),1/365,7/365,1/12,1)</f>
        <v>1</v>
      </c>
      <c r="G5" s="4" t="s">
        <v>48</v>
      </c>
    </row>
    <row r="6" spans="1:8" x14ac:dyDescent="0.35">
      <c r="A6" s="4" t="s">
        <v>83</v>
      </c>
      <c r="B6" s="4" t="s">
        <v>84</v>
      </c>
      <c r="C6" t="str">
        <f ca="1">IFERROR(BDP(B6,"PX_LAST"),"")</f>
        <v/>
      </c>
      <c r="D6" s="4">
        <v>3.6499999999999998E-2</v>
      </c>
      <c r="E6" s="9">
        <f>IF(D6&lt;&gt;"",D6,IF(ISNUMBER(C6),LN(1+C6/100),""))</f>
        <v>3.6499999999999998E-2</v>
      </c>
      <c r="F6" s="9">
        <f>VALUE(LEFT(A6,LEN(A6)-1))*CHOOSE(MATCH(RIGHT(A6,1),{"D","W","M","Y"},0),1/365,7/365,1/12,1)</f>
        <v>2</v>
      </c>
      <c r="G6" s="4" t="s">
        <v>48</v>
      </c>
    </row>
    <row r="7" spans="1:8" x14ac:dyDescent="0.35">
      <c r="A7" s="4" t="s">
        <v>85</v>
      </c>
      <c r="B7" s="4" t="s">
        <v>86</v>
      </c>
      <c r="C7" t="str">
        <f ca="1">IFERROR(BDP(B7,"PX_LAST"),"")</f>
        <v/>
      </c>
      <c r="D7" s="4">
        <v>3.5999999999999997E-2</v>
      </c>
      <c r="E7" s="9">
        <f>IF(D7&lt;&gt;"",D7,IF(ISNUMBER(C7),LN(1+C7/100),""))</f>
        <v>3.5999999999999997E-2</v>
      </c>
      <c r="F7" s="9">
        <f>VALUE(LEFT(A7,LEN(A7)-1))*CHOOSE(MATCH(RIGHT(A7,1),{"D","W","M","Y"},0),1/365,7/365,1/12,1)</f>
        <v>3</v>
      </c>
      <c r="G7" s="4" t="s">
        <v>48</v>
      </c>
    </row>
    <row r="8" spans="1:8" x14ac:dyDescent="0.35">
      <c r="A8" s="4" t="s">
        <v>87</v>
      </c>
      <c r="B8" s="4" t="s">
        <v>88</v>
      </c>
      <c r="C8" t="str">
        <f ca="1">IFERROR(BDP(B8,"PX_LAST"),"")</f>
        <v/>
      </c>
      <c r="D8" s="4">
        <v>3.6200000000000003E-2</v>
      </c>
      <c r="E8" s="9">
        <f>IF(D8&lt;&gt;"",D8,IF(ISNUMBER(C8),LN(1+C8/100),""))</f>
        <v>3.6200000000000003E-2</v>
      </c>
      <c r="F8" s="9">
        <f>VALUE(LEFT(A8,LEN(A8)-1))*CHOOSE(MATCH(RIGHT(A8,1),{"D","W","M","Y"},0),1/365,7/365,1/12,1)</f>
        <v>5</v>
      </c>
      <c r="G8" s="4" t="s">
        <v>48</v>
      </c>
    </row>
    <row r="9" spans="1:8" x14ac:dyDescent="0.35">
      <c r="A9" s="4" t="s">
        <v>89</v>
      </c>
      <c r="B9" s="4" t="s">
        <v>90</v>
      </c>
      <c r="C9" t="str">
        <f ca="1">IFERROR(BDP(B9,"PX_LAST"),"")</f>
        <v/>
      </c>
      <c r="D9" s="4">
        <v>3.7499999999999999E-2</v>
      </c>
      <c r="E9" s="9">
        <f>IF(D9&lt;&gt;"",D9,IF(ISNUMBER(C9),LN(1+C9/100),""))</f>
        <v>3.7499999999999999E-2</v>
      </c>
      <c r="F9" s="9">
        <f>VALUE(LEFT(A9,LEN(A9)-1))*CHOOSE(MATCH(RIGHT(A9,1),{"D","W","M","Y"},0),1/365,7/365,1/12,1)</f>
        <v>10</v>
      </c>
      <c r="G9" s="4" t="s">
        <v>48</v>
      </c>
    </row>
    <row r="10" spans="1:8" x14ac:dyDescent="0.35">
      <c r="A10" s="4" t="s">
        <v>76</v>
      </c>
      <c r="B10" s="4"/>
      <c r="C10" t="str">
        <f ca="1">IFERROR(BDP(B10,"PX_LAST"),"")</f>
        <v/>
      </c>
      <c r="D10" s="4">
        <v>2.2499999999999999E-2</v>
      </c>
      <c r="E10" s="9">
        <f>IF(D10&lt;&gt;"",D10,IF(ISNUMBER(C10),LN(1+C10/100),""))</f>
        <v>2.2499999999999999E-2</v>
      </c>
      <c r="F10" s="9">
        <f>VALUE(LEFT(A10,LEN(A10)-1))*CHOOSE(MATCH(RIGHT(A10,1),{"D","W","M","Y"},0),1/365,7/365,1/12,1)</f>
        <v>8.3333333333333329E-2</v>
      </c>
      <c r="G10" s="4" t="s">
        <v>69</v>
      </c>
      <c r="H10" t="s">
        <v>91</v>
      </c>
    </row>
    <row r="11" spans="1:8" x14ac:dyDescent="0.35">
      <c r="A11" s="4" t="s">
        <v>78</v>
      </c>
      <c r="B11" s="4"/>
      <c r="C11" t="str">
        <f ca="1">IFERROR(BDP(B11,"PX_LAST"),"")</f>
        <v/>
      </c>
      <c r="D11" s="4">
        <v>2.2499999999999999E-2</v>
      </c>
      <c r="E11" s="9">
        <f>IF(D11&lt;&gt;"",D11,IF(ISNUMBER(C11),LN(1+C11/100),""))</f>
        <v>2.2499999999999999E-2</v>
      </c>
      <c r="F11" s="9">
        <f>VALUE(LEFT(A11,LEN(A11)-1))*CHOOSE(MATCH(RIGHT(A11,1),{"D","W","M","Y"},0),1/365,7/365,1/12,1)</f>
        <v>0.25</v>
      </c>
      <c r="G11" s="4" t="s">
        <v>69</v>
      </c>
      <c r="H11" t="s">
        <v>91</v>
      </c>
    </row>
    <row r="12" spans="1:8" x14ac:dyDescent="0.35">
      <c r="A12" s="4" t="s">
        <v>80</v>
      </c>
      <c r="B12" s="4"/>
      <c r="C12" t="str">
        <f ca="1">IFERROR(BDP(B12,"PX_LAST"),"")</f>
        <v/>
      </c>
      <c r="D12" s="4">
        <v>2.2499999999999999E-2</v>
      </c>
      <c r="E12" s="9">
        <f>IF(D12&lt;&gt;"",D12,IF(ISNUMBER(C12),LN(1+C12/100),""))</f>
        <v>2.2499999999999999E-2</v>
      </c>
      <c r="F12" s="9">
        <f>VALUE(LEFT(A12,LEN(A12)-1))*CHOOSE(MATCH(RIGHT(A12,1),{"D","W","M","Y"},0),1/365,7/365,1/12,1)</f>
        <v>0.5</v>
      </c>
      <c r="G12" s="4" t="s">
        <v>69</v>
      </c>
      <c r="H12" t="s">
        <v>91</v>
      </c>
    </row>
    <row r="13" spans="1:8" x14ac:dyDescent="0.35">
      <c r="A13" s="4" t="s">
        <v>45</v>
      </c>
      <c r="B13" s="4"/>
      <c r="C13" t="str">
        <f ca="1">IFERROR(BDP(B13,"PX_LAST"),"")</f>
        <v/>
      </c>
      <c r="D13" s="4">
        <v>2.2800000000000001E-2</v>
      </c>
      <c r="E13" s="9">
        <f>IF(D13&lt;&gt;"",D13,IF(ISNUMBER(C13),LN(1+C13/100),""))</f>
        <v>2.2800000000000001E-2</v>
      </c>
      <c r="F13" s="9">
        <f>VALUE(LEFT(A13,LEN(A13)-1))*CHOOSE(MATCH(RIGHT(A13,1),{"D","W","M","Y"},0),1/365,7/365,1/12,1)</f>
        <v>1</v>
      </c>
      <c r="G13" s="4" t="s">
        <v>69</v>
      </c>
      <c r="H13" t="s">
        <v>91</v>
      </c>
    </row>
    <row r="14" spans="1:8" x14ac:dyDescent="0.35">
      <c r="A14" s="4" t="s">
        <v>83</v>
      </c>
      <c r="B14" s="4"/>
      <c r="C14" t="str">
        <f ca="1">IFERROR(BDP(B14,"PX_LAST"),"")</f>
        <v/>
      </c>
      <c r="D14" s="4">
        <v>2.4E-2</v>
      </c>
      <c r="E14" s="9">
        <f>IF(D14&lt;&gt;"",D14,IF(ISNUMBER(C14),LN(1+C14/100),""))</f>
        <v>2.4E-2</v>
      </c>
      <c r="F14" s="9">
        <f>VALUE(LEFT(A14,LEN(A14)-1))*CHOOSE(MATCH(RIGHT(A14,1),{"D","W","M","Y"},0),1/365,7/365,1/12,1)</f>
        <v>2</v>
      </c>
      <c r="G14" s="4" t="s">
        <v>69</v>
      </c>
      <c r="H14" t="s">
        <v>91</v>
      </c>
    </row>
    <row r="15" spans="1:8" x14ac:dyDescent="0.35">
      <c r="A15" s="4" t="s">
        <v>85</v>
      </c>
      <c r="B15" s="4"/>
      <c r="C15" t="str">
        <f ca="1">IFERROR(BDP(B15,"PX_LAST"),"")</f>
        <v/>
      </c>
      <c r="D15" s="4">
        <v>2.52E-2</v>
      </c>
      <c r="E15" s="9">
        <f>IF(D15&lt;&gt;"",D15,IF(ISNUMBER(C15),LN(1+C15/100),""))</f>
        <v>2.52E-2</v>
      </c>
      <c r="F15" s="9">
        <f>VALUE(LEFT(A15,LEN(A15)-1))*CHOOSE(MATCH(RIGHT(A15,1),{"D","W","M","Y"},0),1/365,7/365,1/12,1)</f>
        <v>3</v>
      </c>
      <c r="G15" s="4" t="s">
        <v>69</v>
      </c>
      <c r="H15" t="s">
        <v>91</v>
      </c>
    </row>
    <row r="16" spans="1:8" x14ac:dyDescent="0.35">
      <c r="A16" s="4" t="s">
        <v>87</v>
      </c>
      <c r="B16" s="4"/>
      <c r="C16" t="str">
        <f ca="1">IFERROR(BDP(B16,"PX_LAST"),"")</f>
        <v/>
      </c>
      <c r="D16" s="4">
        <v>2.7E-2</v>
      </c>
      <c r="E16" s="9">
        <f>IF(D16&lt;&gt;"",D16,IF(ISNUMBER(C16),LN(1+C16/100),""))</f>
        <v>2.7E-2</v>
      </c>
      <c r="F16" s="9">
        <f>VALUE(LEFT(A16,LEN(A16)-1))*CHOOSE(MATCH(RIGHT(A16,1),{"D","W","M","Y"},0),1/365,7/365,1/12,1)</f>
        <v>5</v>
      </c>
      <c r="G16" s="4" t="s">
        <v>69</v>
      </c>
      <c r="H16" t="s">
        <v>91</v>
      </c>
    </row>
    <row r="17" spans="1:8" x14ac:dyDescent="0.35">
      <c r="A17" s="4" t="s">
        <v>89</v>
      </c>
      <c r="B17" s="4"/>
      <c r="C17" t="str">
        <f ca="1">IFERROR(BDP(B17,"PX_LAST"),"")</f>
        <v/>
      </c>
      <c r="D17" s="4">
        <v>0.03</v>
      </c>
      <c r="E17" s="9">
        <f>IF(D17&lt;&gt;"",D17,IF(ISNUMBER(C17),LN(1+C17/100),""))</f>
        <v>0.03</v>
      </c>
      <c r="F17" s="9">
        <f>VALUE(LEFT(A17,LEN(A17)-1))*CHOOSE(MATCH(RIGHT(A17,1),{"D","W","M","Y"},0),1/365,7/365,1/12,1)</f>
        <v>10</v>
      </c>
      <c r="G17" s="4" t="s">
        <v>69</v>
      </c>
      <c r="H17" t="s">
        <v>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D35A-F22E-40A4-BF63-C0057246C9B3}">
  <dimension ref="A1:G2"/>
  <sheetViews>
    <sheetView workbookViewId="0"/>
  </sheetViews>
  <sheetFormatPr defaultRowHeight="15.5" x14ac:dyDescent="0.35"/>
  <cols>
    <col min="1" max="1" width="7.75" bestFit="1" customWidth="1"/>
    <col min="2" max="2" width="13.83203125" bestFit="1" customWidth="1"/>
    <col min="3" max="3" width="8.83203125" bestFit="1" customWidth="1"/>
    <col min="4" max="4" width="8.08203125" bestFit="1" customWidth="1"/>
    <col min="5" max="5" width="4.58203125" bestFit="1" customWidth="1"/>
    <col min="7" max="7" width="62.83203125" bestFit="1" customWidth="1"/>
  </cols>
  <sheetData>
    <row r="1" spans="1:7" x14ac:dyDescent="0.35">
      <c r="A1" s="7" t="s">
        <v>92</v>
      </c>
      <c r="B1" s="7" t="s">
        <v>50</v>
      </c>
      <c r="C1" s="7" t="s">
        <v>52</v>
      </c>
      <c r="D1" s="7" t="s">
        <v>72</v>
      </c>
      <c r="E1" s="7" t="s">
        <v>58</v>
      </c>
      <c r="G1" t="s">
        <v>95</v>
      </c>
    </row>
    <row r="2" spans="1:7" x14ac:dyDescent="0.35">
      <c r="A2" s="4" t="s">
        <v>93</v>
      </c>
      <c r="B2" s="4" t="s">
        <v>94</v>
      </c>
      <c r="C2" t="str">
        <f ca="1">IFERROR(BDP(B2,"PX_LAST"),"")</f>
        <v/>
      </c>
      <c r="D2" s="4">
        <v>1.4</v>
      </c>
      <c r="E2" s="9">
        <f>IF(D2&lt;&gt;"",D2,C2)</f>
        <v>1.4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1950A-E12F-457E-8B49-F5DAB9BEB875}">
  <dimension ref="A1:G31"/>
  <sheetViews>
    <sheetView workbookViewId="0"/>
  </sheetViews>
  <sheetFormatPr defaultRowHeight="15.5" x14ac:dyDescent="0.35"/>
  <cols>
    <col min="1" max="1" width="10.08203125" bestFit="1" customWidth="1"/>
    <col min="2" max="2" width="5.58203125" bestFit="1" customWidth="1"/>
    <col min="3" max="3" width="10.33203125" bestFit="1" customWidth="1"/>
    <col min="4" max="4" width="28.83203125" bestFit="1" customWidth="1"/>
    <col min="5" max="5" width="7.75" bestFit="1" customWidth="1"/>
    <col min="6" max="6" width="8.08203125" bestFit="1" customWidth="1"/>
    <col min="7" max="7" width="5.83203125" bestFit="1" customWidth="1"/>
  </cols>
  <sheetData>
    <row r="1" spans="1:7" x14ac:dyDescent="0.35">
      <c r="A1" s="7" t="s">
        <v>49</v>
      </c>
      <c r="B1" s="7" t="s">
        <v>70</v>
      </c>
      <c r="C1" s="7" t="s">
        <v>96</v>
      </c>
      <c r="D1" s="7" t="s">
        <v>97</v>
      </c>
      <c r="E1" s="7" t="s">
        <v>98</v>
      </c>
      <c r="F1" s="7" t="s">
        <v>72</v>
      </c>
      <c r="G1" s="7" t="s">
        <v>99</v>
      </c>
    </row>
    <row r="2" spans="1:7" x14ac:dyDescent="0.35">
      <c r="A2" s="4" t="s">
        <v>62</v>
      </c>
      <c r="B2" s="4" t="s">
        <v>76</v>
      </c>
      <c r="C2" s="4">
        <v>0.8</v>
      </c>
      <c r="D2" s="4" t="s">
        <v>100</v>
      </c>
      <c r="E2" t="str">
        <f ca="1">IF(D2="","",IFERROR(BDP(INDEX(Market!$B:$B,MATCH(A2,Market!$A:$A,0)),D2)/100,""))</f>
        <v/>
      </c>
      <c r="F2" s="4">
        <v>0.36</v>
      </c>
      <c r="G2" s="9">
        <f>IF(F2&lt;&gt;"",F2,E2)</f>
        <v>0.36</v>
      </c>
    </row>
    <row r="3" spans="1:7" x14ac:dyDescent="0.35">
      <c r="A3" s="4" t="s">
        <v>62</v>
      </c>
      <c r="B3" s="4" t="s">
        <v>76</v>
      </c>
      <c r="C3" s="4">
        <v>0.9</v>
      </c>
      <c r="D3" s="4" t="s">
        <v>101</v>
      </c>
      <c r="E3" t="str">
        <f ca="1">IF(D3="","",IFERROR(BDP(INDEX(Market!$B:$B,MATCH(A3,Market!$A:$A,0)),D3)/100,""))</f>
        <v/>
      </c>
      <c r="F3" s="4">
        <v>0.33</v>
      </c>
      <c r="G3" s="9">
        <f>IF(F3&lt;&gt;"",F3,E3)</f>
        <v>0.33</v>
      </c>
    </row>
    <row r="4" spans="1:7" x14ac:dyDescent="0.35">
      <c r="A4" s="4" t="s">
        <v>62</v>
      </c>
      <c r="B4" s="4" t="s">
        <v>76</v>
      </c>
      <c r="C4" s="4">
        <v>1</v>
      </c>
      <c r="D4" s="4" t="s">
        <v>102</v>
      </c>
      <c r="E4" t="str">
        <f ca="1">IF(D4="","",IFERROR(BDP(INDEX(Market!$B:$B,MATCH(A4,Market!$A:$A,0)),D4)/100,""))</f>
        <v/>
      </c>
      <c r="F4" s="4">
        <v>0.3</v>
      </c>
      <c r="G4" s="9">
        <f>IF(F4&lt;&gt;"",F4,E4)</f>
        <v>0.3</v>
      </c>
    </row>
    <row r="5" spans="1:7" x14ac:dyDescent="0.35">
      <c r="A5" s="4" t="s">
        <v>62</v>
      </c>
      <c r="B5" s="4" t="s">
        <v>76</v>
      </c>
      <c r="C5" s="4">
        <v>1.1000000000000001</v>
      </c>
      <c r="D5" s="4" t="s">
        <v>103</v>
      </c>
      <c r="E5" t="str">
        <f ca="1">IF(D5="","",IFERROR(BDP(INDEX(Market!$B:$B,MATCH(A5,Market!$A:$A,0)),D5)/100,""))</f>
        <v/>
      </c>
      <c r="F5" s="4">
        <v>0.28499999999999998</v>
      </c>
      <c r="G5" s="9">
        <f>IF(F5&lt;&gt;"",F5,E5)</f>
        <v>0.28499999999999998</v>
      </c>
    </row>
    <row r="6" spans="1:7" x14ac:dyDescent="0.35">
      <c r="A6" s="4" t="s">
        <v>62</v>
      </c>
      <c r="B6" s="4" t="s">
        <v>76</v>
      </c>
      <c r="C6" s="4">
        <v>1.2</v>
      </c>
      <c r="D6" s="4" t="s">
        <v>104</v>
      </c>
      <c r="E6" t="str">
        <f ca="1">IF(D6="","",IFERROR(BDP(INDEX(Market!$B:$B,MATCH(A6,Market!$A:$A,0)),D6)/100,""))</f>
        <v/>
      </c>
      <c r="F6" s="4">
        <v>0.28000000000000003</v>
      </c>
      <c r="G6" s="9">
        <f>IF(F6&lt;&gt;"",F6,E6)</f>
        <v>0.28000000000000003</v>
      </c>
    </row>
    <row r="7" spans="1:7" x14ac:dyDescent="0.35">
      <c r="A7" s="4" t="s">
        <v>62</v>
      </c>
      <c r="B7" s="4" t="s">
        <v>78</v>
      </c>
      <c r="C7" s="4">
        <v>0.8</v>
      </c>
      <c r="D7" s="4" t="s">
        <v>105</v>
      </c>
      <c r="E7" t="str">
        <f ca="1">IF(D7="","",IFERROR(BDP(INDEX(Market!$B:$B,MATCH(A7,Market!$A:$A,0)),D7)/100,""))</f>
        <v/>
      </c>
      <c r="F7" s="4">
        <v>0.35</v>
      </c>
      <c r="G7" s="9">
        <f>IF(F7&lt;&gt;"",F7,E7)</f>
        <v>0.35</v>
      </c>
    </row>
    <row r="8" spans="1:7" x14ac:dyDescent="0.35">
      <c r="A8" s="4" t="s">
        <v>62</v>
      </c>
      <c r="B8" s="4" t="s">
        <v>78</v>
      </c>
      <c r="C8" s="4">
        <v>0.9</v>
      </c>
      <c r="D8" s="4" t="s">
        <v>106</v>
      </c>
      <c r="E8" t="str">
        <f ca="1">IF(D8="","",IFERROR(BDP(INDEX(Market!$B:$B,MATCH(A8,Market!$A:$A,0)),D8)/100,""))</f>
        <v/>
      </c>
      <c r="F8" s="4">
        <v>0.32</v>
      </c>
      <c r="G8" s="9">
        <f>IF(F8&lt;&gt;"",F8,E8)</f>
        <v>0.32</v>
      </c>
    </row>
    <row r="9" spans="1:7" x14ac:dyDescent="0.35">
      <c r="A9" s="4" t="s">
        <v>62</v>
      </c>
      <c r="B9" s="4" t="s">
        <v>78</v>
      </c>
      <c r="C9" s="4">
        <v>1</v>
      </c>
      <c r="D9" s="4" t="s">
        <v>107</v>
      </c>
      <c r="E9" t="str">
        <f ca="1">IF(D9="","",IFERROR(BDP(INDEX(Market!$B:$B,MATCH(A9,Market!$A:$A,0)),D9)/100,""))</f>
        <v/>
      </c>
      <c r="F9" s="4">
        <v>0.28999999999999998</v>
      </c>
      <c r="G9" s="9">
        <f>IF(F9&lt;&gt;"",F9,E9)</f>
        <v>0.28999999999999998</v>
      </c>
    </row>
    <row r="10" spans="1:7" x14ac:dyDescent="0.35">
      <c r="A10" s="4" t="s">
        <v>62</v>
      </c>
      <c r="B10" s="4" t="s">
        <v>78</v>
      </c>
      <c r="C10" s="4">
        <v>1.1000000000000001</v>
      </c>
      <c r="D10" s="4" t="s">
        <v>108</v>
      </c>
      <c r="E10" t="str">
        <f ca="1">IF(D10="","",IFERROR(BDP(INDEX(Market!$B:$B,MATCH(A10,Market!$A:$A,0)),D10)/100,""))</f>
        <v/>
      </c>
      <c r="F10" s="4">
        <v>0.27500000000000002</v>
      </c>
      <c r="G10" s="9">
        <f>IF(F10&lt;&gt;"",F10,E10)</f>
        <v>0.27500000000000002</v>
      </c>
    </row>
    <row r="11" spans="1:7" x14ac:dyDescent="0.35">
      <c r="A11" s="4" t="s">
        <v>62</v>
      </c>
      <c r="B11" s="4" t="s">
        <v>78</v>
      </c>
      <c r="C11" s="4">
        <v>1.2</v>
      </c>
      <c r="D11" s="4" t="s">
        <v>109</v>
      </c>
      <c r="E11" t="str">
        <f ca="1">IF(D11="","",IFERROR(BDP(INDEX(Market!$B:$B,MATCH(A11,Market!$A:$A,0)),D11)/100,""))</f>
        <v/>
      </c>
      <c r="F11" s="4">
        <v>0.27</v>
      </c>
      <c r="G11" s="9">
        <f>IF(F11&lt;&gt;"",F11,E11)</f>
        <v>0.27</v>
      </c>
    </row>
    <row r="12" spans="1:7" x14ac:dyDescent="0.35">
      <c r="A12" s="4" t="s">
        <v>62</v>
      </c>
      <c r="B12" s="4" t="s">
        <v>80</v>
      </c>
      <c r="C12" s="4">
        <v>0.8</v>
      </c>
      <c r="D12" s="4" t="s">
        <v>110</v>
      </c>
      <c r="E12" t="str">
        <f ca="1">IF(D12="","",IFERROR(BDP(INDEX(Market!$B:$B,MATCH(A12,Market!$A:$A,0)),D12)/100,""))</f>
        <v/>
      </c>
      <c r="F12" s="4">
        <v>0.34499999999999997</v>
      </c>
      <c r="G12" s="9">
        <f>IF(F12&lt;&gt;"",F12,E12)</f>
        <v>0.34499999999999997</v>
      </c>
    </row>
    <row r="13" spans="1:7" x14ac:dyDescent="0.35">
      <c r="A13" s="4" t="s">
        <v>62</v>
      </c>
      <c r="B13" s="4" t="s">
        <v>80</v>
      </c>
      <c r="C13" s="4">
        <v>0.9</v>
      </c>
      <c r="D13" s="4" t="s">
        <v>111</v>
      </c>
      <c r="E13" t="str">
        <f ca="1">IF(D13="","",IFERROR(BDP(INDEX(Market!$B:$B,MATCH(A13,Market!$A:$A,0)),D13)/100,""))</f>
        <v/>
      </c>
      <c r="F13" s="4">
        <v>0.315</v>
      </c>
      <c r="G13" s="9">
        <f>IF(F13&lt;&gt;"",F13,E13)</f>
        <v>0.315</v>
      </c>
    </row>
    <row r="14" spans="1:7" x14ac:dyDescent="0.35">
      <c r="A14" s="4" t="s">
        <v>62</v>
      </c>
      <c r="B14" s="4" t="s">
        <v>80</v>
      </c>
      <c r="C14" s="4">
        <v>1</v>
      </c>
      <c r="D14" s="4" t="s">
        <v>112</v>
      </c>
      <c r="E14" t="str">
        <f ca="1">IF(D14="","",IFERROR(BDP(INDEX(Market!$B:$B,MATCH(A14,Market!$A:$A,0)),D14)/100,""))</f>
        <v/>
      </c>
      <c r="F14" s="4">
        <v>0.28499999999999998</v>
      </c>
      <c r="G14" s="9">
        <f>IF(F14&lt;&gt;"",F14,E14)</f>
        <v>0.28499999999999998</v>
      </c>
    </row>
    <row r="15" spans="1:7" x14ac:dyDescent="0.35">
      <c r="A15" s="4" t="s">
        <v>62</v>
      </c>
      <c r="B15" s="4" t="s">
        <v>80</v>
      </c>
      <c r="C15" s="4">
        <v>1.1000000000000001</v>
      </c>
      <c r="D15" s="4" t="s">
        <v>113</v>
      </c>
      <c r="E15" t="str">
        <f ca="1">IF(D15="","",IFERROR(BDP(INDEX(Market!$B:$B,MATCH(A15,Market!$A:$A,0)),D15)/100,""))</f>
        <v/>
      </c>
      <c r="F15" s="4">
        <v>0.27</v>
      </c>
      <c r="G15" s="9">
        <f>IF(F15&lt;&gt;"",F15,E15)</f>
        <v>0.27</v>
      </c>
    </row>
    <row r="16" spans="1:7" x14ac:dyDescent="0.35">
      <c r="A16" s="4" t="s">
        <v>62</v>
      </c>
      <c r="B16" s="4" t="s">
        <v>80</v>
      </c>
      <c r="C16" s="4">
        <v>1.2</v>
      </c>
      <c r="D16" s="4" t="s">
        <v>114</v>
      </c>
      <c r="E16" t="str">
        <f ca="1">IF(D16="","",IFERROR(BDP(INDEX(Market!$B:$B,MATCH(A16,Market!$A:$A,0)),D16)/100,""))</f>
        <v/>
      </c>
      <c r="F16" s="4">
        <v>0.26500000000000001</v>
      </c>
      <c r="G16" s="9">
        <f>IF(F16&lt;&gt;"",F16,E16)</f>
        <v>0.26500000000000001</v>
      </c>
    </row>
    <row r="17" spans="1:7" x14ac:dyDescent="0.35">
      <c r="A17" s="4" t="s">
        <v>62</v>
      </c>
      <c r="B17" s="4" t="s">
        <v>45</v>
      </c>
      <c r="C17" s="4">
        <v>0.8</v>
      </c>
      <c r="D17" s="4" t="s">
        <v>115</v>
      </c>
      <c r="E17" t="str">
        <f ca="1">IF(D17="","",IFERROR(BDP(INDEX(Market!$B:$B,MATCH(A17,Market!$A:$A,0)),D17)/100,""))</f>
        <v/>
      </c>
      <c r="F17" s="4">
        <v>0.34</v>
      </c>
      <c r="G17" s="9">
        <f>IF(F17&lt;&gt;"",F17,E17)</f>
        <v>0.34</v>
      </c>
    </row>
    <row r="18" spans="1:7" x14ac:dyDescent="0.35">
      <c r="A18" s="4" t="s">
        <v>62</v>
      </c>
      <c r="B18" s="4" t="s">
        <v>45</v>
      </c>
      <c r="C18" s="4">
        <v>0.9</v>
      </c>
      <c r="D18" s="4" t="s">
        <v>116</v>
      </c>
      <c r="E18" t="str">
        <f ca="1">IF(D18="","",IFERROR(BDP(INDEX(Market!$B:$B,MATCH(A18,Market!$A:$A,0)),D18)/100,""))</f>
        <v/>
      </c>
      <c r="F18" s="4">
        <v>0.31</v>
      </c>
      <c r="G18" s="9">
        <f>IF(F18&lt;&gt;"",F18,E18)</f>
        <v>0.31</v>
      </c>
    </row>
    <row r="19" spans="1:7" x14ac:dyDescent="0.35">
      <c r="A19" s="4" t="s">
        <v>62</v>
      </c>
      <c r="B19" s="4" t="s">
        <v>45</v>
      </c>
      <c r="C19" s="4">
        <v>1</v>
      </c>
      <c r="D19" s="4" t="s">
        <v>117</v>
      </c>
      <c r="E19" t="str">
        <f ca="1">IF(D19="","",IFERROR(BDP(INDEX(Market!$B:$B,MATCH(A19,Market!$A:$A,0)),D19)/100,""))</f>
        <v/>
      </c>
      <c r="F19" s="4">
        <v>0.28000000000000003</v>
      </c>
      <c r="G19" s="9">
        <f>IF(F19&lt;&gt;"",F19,E19)</f>
        <v>0.28000000000000003</v>
      </c>
    </row>
    <row r="20" spans="1:7" x14ac:dyDescent="0.35">
      <c r="A20" s="4" t="s">
        <v>62</v>
      </c>
      <c r="B20" s="4" t="s">
        <v>45</v>
      </c>
      <c r="C20" s="4">
        <v>1.1000000000000001</v>
      </c>
      <c r="D20" s="4" t="s">
        <v>118</v>
      </c>
      <c r="E20" t="str">
        <f ca="1">IF(D20="","",IFERROR(BDP(INDEX(Market!$B:$B,MATCH(A20,Market!$A:$A,0)),D20)/100,""))</f>
        <v/>
      </c>
      <c r="F20" s="4">
        <v>0.26500000000000001</v>
      </c>
      <c r="G20" s="9">
        <f>IF(F20&lt;&gt;"",F20,E20)</f>
        <v>0.26500000000000001</v>
      </c>
    </row>
    <row r="21" spans="1:7" x14ac:dyDescent="0.35">
      <c r="A21" s="4" t="s">
        <v>62</v>
      </c>
      <c r="B21" s="4" t="s">
        <v>45</v>
      </c>
      <c r="C21" s="4">
        <v>1.2</v>
      </c>
      <c r="D21" s="4" t="s">
        <v>119</v>
      </c>
      <c r="E21" t="str">
        <f ca="1">IF(D21="","",IFERROR(BDP(INDEX(Market!$B:$B,MATCH(A21,Market!$A:$A,0)),D21)/100,""))</f>
        <v/>
      </c>
      <c r="F21" s="4">
        <v>0.26</v>
      </c>
      <c r="G21" s="9">
        <f>IF(F21&lt;&gt;"",F21,E21)</f>
        <v>0.26</v>
      </c>
    </row>
    <row r="22" spans="1:7" x14ac:dyDescent="0.35">
      <c r="A22" s="4" t="s">
        <v>62</v>
      </c>
      <c r="B22" s="4" t="s">
        <v>83</v>
      </c>
      <c r="C22" s="4">
        <v>0.8</v>
      </c>
      <c r="D22" s="4" t="s">
        <v>120</v>
      </c>
      <c r="E22" t="str">
        <f ca="1">IF(D22="","",IFERROR(BDP(INDEX(Market!$B:$B,MATCH(A22,Market!$A:$A,0)),D22)/100,""))</f>
        <v/>
      </c>
      <c r="F22" s="4">
        <v>0.33500000000000002</v>
      </c>
      <c r="G22" s="9">
        <f>IF(F22&lt;&gt;"",F22,E22)</f>
        <v>0.33500000000000002</v>
      </c>
    </row>
    <row r="23" spans="1:7" x14ac:dyDescent="0.35">
      <c r="A23" s="4" t="s">
        <v>62</v>
      </c>
      <c r="B23" s="4" t="s">
        <v>83</v>
      </c>
      <c r="C23" s="4">
        <v>0.9</v>
      </c>
      <c r="D23" s="4" t="s">
        <v>121</v>
      </c>
      <c r="E23" t="str">
        <f ca="1">IF(D23="","",IFERROR(BDP(INDEX(Market!$B:$B,MATCH(A23,Market!$A:$A,0)),D23)/100,""))</f>
        <v/>
      </c>
      <c r="F23" s="4">
        <v>0.30499999999999999</v>
      </c>
      <c r="G23" s="9">
        <f>IF(F23&lt;&gt;"",F23,E23)</f>
        <v>0.30499999999999999</v>
      </c>
    </row>
    <row r="24" spans="1:7" x14ac:dyDescent="0.35">
      <c r="A24" s="4" t="s">
        <v>62</v>
      </c>
      <c r="B24" s="4" t="s">
        <v>83</v>
      </c>
      <c r="C24" s="4">
        <v>1</v>
      </c>
      <c r="D24" s="4" t="s">
        <v>122</v>
      </c>
      <c r="E24" t="str">
        <f ca="1">IF(D24="","",IFERROR(BDP(INDEX(Market!$B:$B,MATCH(A24,Market!$A:$A,0)),D24)/100,""))</f>
        <v/>
      </c>
      <c r="F24" s="4">
        <v>0.27500000000000002</v>
      </c>
      <c r="G24" s="9">
        <f>IF(F24&lt;&gt;"",F24,E24)</f>
        <v>0.27500000000000002</v>
      </c>
    </row>
    <row r="25" spans="1:7" x14ac:dyDescent="0.35">
      <c r="A25" s="4" t="s">
        <v>62</v>
      </c>
      <c r="B25" s="4" t="s">
        <v>83</v>
      </c>
      <c r="C25" s="4">
        <v>1.1000000000000001</v>
      </c>
      <c r="D25" s="4" t="s">
        <v>123</v>
      </c>
      <c r="E25" t="str">
        <f ca="1">IF(D25="","",IFERROR(BDP(INDEX(Market!$B:$B,MATCH(A25,Market!$A:$A,0)),D25)/100,""))</f>
        <v/>
      </c>
      <c r="F25" s="4">
        <v>0.26</v>
      </c>
      <c r="G25" s="9">
        <f>IF(F25&lt;&gt;"",F25,E25)</f>
        <v>0.26</v>
      </c>
    </row>
    <row r="26" spans="1:7" x14ac:dyDescent="0.35">
      <c r="A26" s="4" t="s">
        <v>62</v>
      </c>
      <c r="B26" s="4" t="s">
        <v>83</v>
      </c>
      <c r="C26" s="4">
        <v>1.2</v>
      </c>
      <c r="D26" s="4" t="s">
        <v>124</v>
      </c>
      <c r="E26" t="str">
        <f ca="1">IF(D26="","",IFERROR(BDP(INDEX(Market!$B:$B,MATCH(A26,Market!$A:$A,0)),D26)/100,""))</f>
        <v/>
      </c>
      <c r="F26" s="4">
        <v>0.255</v>
      </c>
      <c r="G26" s="9">
        <f>IF(F26&lt;&gt;"",F26,E26)</f>
        <v>0.255</v>
      </c>
    </row>
    <row r="27" spans="1:7" x14ac:dyDescent="0.35">
      <c r="A27" s="4" t="s">
        <v>62</v>
      </c>
      <c r="B27" s="4" t="s">
        <v>87</v>
      </c>
      <c r="C27" s="4">
        <v>0.8</v>
      </c>
      <c r="D27" s="4"/>
      <c r="E27" t="str">
        <f>IF(D27="","",IFERROR(BDP(INDEX(Market!$B:$B,MATCH(A27,Market!$A:$A,0)),D27)/100,""))</f>
        <v/>
      </c>
      <c r="F27" s="4">
        <v>0.33</v>
      </c>
      <c r="G27" s="9">
        <f>IF(F27&lt;&gt;"",F27,E27)</f>
        <v>0.33</v>
      </c>
    </row>
    <row r="28" spans="1:7" x14ac:dyDescent="0.35">
      <c r="A28" s="4" t="s">
        <v>62</v>
      </c>
      <c r="B28" s="4" t="s">
        <v>87</v>
      </c>
      <c r="C28" s="4">
        <v>0.9</v>
      </c>
      <c r="D28" s="4"/>
      <c r="E28" t="str">
        <f>IF(D28="","",IFERROR(BDP(INDEX(Market!$B:$B,MATCH(A28,Market!$A:$A,0)),D28)/100,""))</f>
        <v/>
      </c>
      <c r="F28" s="4">
        <v>0.3</v>
      </c>
      <c r="G28" s="9">
        <f>IF(F28&lt;&gt;"",F28,E28)</f>
        <v>0.3</v>
      </c>
    </row>
    <row r="29" spans="1:7" x14ac:dyDescent="0.35">
      <c r="A29" s="4" t="s">
        <v>62</v>
      </c>
      <c r="B29" s="4" t="s">
        <v>87</v>
      </c>
      <c r="C29" s="4">
        <v>1</v>
      </c>
      <c r="D29" s="4"/>
      <c r="E29" t="str">
        <f>IF(D29="","",IFERROR(BDP(INDEX(Market!$B:$B,MATCH(A29,Market!$A:$A,0)),D29)/100,""))</f>
        <v/>
      </c>
      <c r="F29" s="4">
        <v>0.27</v>
      </c>
      <c r="G29" s="9">
        <f>IF(F29&lt;&gt;"",F29,E29)</f>
        <v>0.27</v>
      </c>
    </row>
    <row r="30" spans="1:7" x14ac:dyDescent="0.35">
      <c r="A30" s="4" t="s">
        <v>62</v>
      </c>
      <c r="B30" s="4" t="s">
        <v>87</v>
      </c>
      <c r="C30" s="4">
        <v>1.1000000000000001</v>
      </c>
      <c r="D30" s="4"/>
      <c r="E30" t="str">
        <f>IF(D30="","",IFERROR(BDP(INDEX(Market!$B:$B,MATCH(A30,Market!$A:$A,0)),D30)/100,""))</f>
        <v/>
      </c>
      <c r="F30" s="4">
        <v>0.255</v>
      </c>
      <c r="G30" s="9">
        <f>IF(F30&lt;&gt;"",F30,E30)</f>
        <v>0.255</v>
      </c>
    </row>
    <row r="31" spans="1:7" x14ac:dyDescent="0.35">
      <c r="A31" s="4" t="s">
        <v>62</v>
      </c>
      <c r="B31" s="4" t="s">
        <v>87</v>
      </c>
      <c r="C31" s="4">
        <v>1.2</v>
      </c>
      <c r="D31" s="4"/>
      <c r="E31" t="str">
        <f>IF(D31="","",IFERROR(BDP(INDEX(Market!$B:$B,MATCH(A31,Market!$A:$A,0)),D31)/100,""))</f>
        <v/>
      </c>
      <c r="F31" s="4">
        <v>0.25</v>
      </c>
      <c r="G31" s="9">
        <f>IF(F31&lt;&gt;"",F31,E31)</f>
        <v>0.25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2851-0AEF-400D-B052-0EB2FD2FF1E1}">
  <dimension ref="A1:C2"/>
  <sheetViews>
    <sheetView workbookViewId="0"/>
  </sheetViews>
  <sheetFormatPr defaultRowHeight="15.5" x14ac:dyDescent="0.35"/>
  <cols>
    <col min="1" max="2" width="11.08203125" bestFit="1" customWidth="1"/>
    <col min="3" max="3" width="3.83203125" bestFit="1" customWidth="1"/>
  </cols>
  <sheetData>
    <row r="1" spans="1:3" x14ac:dyDescent="0.35">
      <c r="A1" s="7" t="s">
        <v>125</v>
      </c>
      <c r="B1" s="7" t="s">
        <v>126</v>
      </c>
      <c r="C1" s="7" t="s">
        <v>127</v>
      </c>
    </row>
    <row r="2" spans="1:3" x14ac:dyDescent="0.35">
      <c r="A2" s="4" t="s">
        <v>62</v>
      </c>
      <c r="B2" s="4" t="s">
        <v>65</v>
      </c>
      <c r="C2" s="4">
        <v>0.6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EE133-52D7-4A69-94BA-2CDC1163265D}">
  <dimension ref="A1:L6"/>
  <sheetViews>
    <sheetView workbookViewId="0"/>
  </sheetViews>
  <sheetFormatPr defaultRowHeight="15.5" x14ac:dyDescent="0.35"/>
  <cols>
    <col min="1" max="1" width="11.08203125" bestFit="1" customWidth="1"/>
    <col min="2" max="2" width="17.25" bestFit="1" customWidth="1"/>
    <col min="3" max="3" width="12.25" bestFit="1" customWidth="1"/>
    <col min="4" max="4" width="12.08203125" bestFit="1" customWidth="1"/>
    <col min="5" max="5" width="14.5" bestFit="1" customWidth="1"/>
    <col min="6" max="6" width="6.83203125" bestFit="1" customWidth="1"/>
    <col min="7" max="7" width="10.58203125" bestFit="1" customWidth="1"/>
    <col min="8" max="8" width="9.25" bestFit="1" customWidth="1"/>
    <col min="9" max="9" width="19.83203125" bestFit="1" customWidth="1"/>
    <col min="10" max="10" width="10.33203125" bestFit="1" customWidth="1"/>
    <col min="11" max="11" width="8.75" bestFit="1" customWidth="1"/>
    <col min="12" max="12" width="7.25" bestFit="1" customWidth="1"/>
  </cols>
  <sheetData>
    <row r="1" spans="1:12" x14ac:dyDescent="0.35">
      <c r="A1" s="7" t="s">
        <v>128</v>
      </c>
      <c r="B1" s="7" t="s">
        <v>129</v>
      </c>
      <c r="C1" s="7" t="s">
        <v>130</v>
      </c>
      <c r="D1" s="7" t="s">
        <v>131</v>
      </c>
      <c r="E1" s="7" t="s">
        <v>132</v>
      </c>
      <c r="F1" s="7" t="s">
        <v>133</v>
      </c>
      <c r="G1" s="7" t="s">
        <v>134</v>
      </c>
      <c r="H1" s="7" t="s">
        <v>135</v>
      </c>
      <c r="I1" s="7" t="s">
        <v>136</v>
      </c>
      <c r="J1" s="7" t="s">
        <v>137</v>
      </c>
      <c r="K1" s="7" t="s">
        <v>138</v>
      </c>
      <c r="L1" s="7" t="s">
        <v>139</v>
      </c>
    </row>
    <row r="2" spans="1:12" x14ac:dyDescent="0.35">
      <c r="A2" s="4" t="s">
        <v>140</v>
      </c>
      <c r="B2" s="4" t="s">
        <v>141</v>
      </c>
      <c r="C2" s="4" t="s">
        <v>64</v>
      </c>
      <c r="D2" s="4"/>
      <c r="E2" s="4"/>
      <c r="F2" s="4"/>
      <c r="G2" s="4"/>
      <c r="H2" s="4"/>
      <c r="I2" s="4"/>
      <c r="J2" s="4">
        <v>10</v>
      </c>
      <c r="K2" s="4"/>
      <c r="L2" s="4"/>
    </row>
    <row r="3" spans="1:12" x14ac:dyDescent="0.35">
      <c r="A3" s="4" t="s">
        <v>142</v>
      </c>
      <c r="B3" s="4" t="s">
        <v>143</v>
      </c>
      <c r="C3" s="4" t="s">
        <v>43</v>
      </c>
      <c r="D3" s="4">
        <v>0</v>
      </c>
      <c r="E3" s="4">
        <v>0</v>
      </c>
      <c r="F3" s="4">
        <v>50000</v>
      </c>
      <c r="G3" s="4">
        <v>0</v>
      </c>
      <c r="H3" s="4">
        <v>0</v>
      </c>
      <c r="I3" s="4" t="s">
        <v>43</v>
      </c>
      <c r="J3" s="4">
        <v>10</v>
      </c>
      <c r="K3" s="4"/>
      <c r="L3" s="4"/>
    </row>
    <row r="4" spans="1:12" x14ac:dyDescent="0.35">
      <c r="A4" s="4" t="s">
        <v>144</v>
      </c>
      <c r="B4" s="4" t="s">
        <v>145</v>
      </c>
      <c r="C4" s="4" t="s">
        <v>64</v>
      </c>
      <c r="D4" s="4"/>
      <c r="E4" s="4"/>
      <c r="F4" s="4"/>
      <c r="G4" s="4"/>
      <c r="H4" s="4"/>
      <c r="I4" s="4"/>
      <c r="J4" s="4">
        <v>10</v>
      </c>
      <c r="K4" s="4"/>
      <c r="L4" s="4"/>
    </row>
    <row r="5" spans="1:12" x14ac:dyDescent="0.35">
      <c r="A5" s="4" t="s">
        <v>146</v>
      </c>
      <c r="B5" s="4" t="s">
        <v>147</v>
      </c>
      <c r="C5" s="4" t="s">
        <v>43</v>
      </c>
      <c r="D5" s="4">
        <v>1000000</v>
      </c>
      <c r="E5" s="4">
        <v>1000000</v>
      </c>
      <c r="F5" s="4">
        <v>100000</v>
      </c>
      <c r="G5" s="4">
        <v>500000</v>
      </c>
      <c r="H5" s="4">
        <v>0</v>
      </c>
      <c r="I5" s="4" t="s">
        <v>43</v>
      </c>
      <c r="J5" s="4">
        <v>10</v>
      </c>
      <c r="K5" s="4"/>
      <c r="L5" s="4"/>
    </row>
    <row r="6" spans="1:12" x14ac:dyDescent="0.35">
      <c r="A6" s="4" t="s">
        <v>148</v>
      </c>
      <c r="B6" s="4" t="s">
        <v>149</v>
      </c>
      <c r="C6" s="4" t="s">
        <v>43</v>
      </c>
      <c r="D6" s="4">
        <v>8000000</v>
      </c>
      <c r="E6" s="4">
        <v>1000000000000000</v>
      </c>
      <c r="F6" s="4">
        <v>400000</v>
      </c>
      <c r="G6" s="4">
        <v>0</v>
      </c>
      <c r="H6" s="4">
        <v>0</v>
      </c>
      <c r="I6" s="4" t="s">
        <v>43</v>
      </c>
      <c r="J6" s="4">
        <v>10</v>
      </c>
      <c r="K6" s="4"/>
      <c r="L6" s="4" t="s">
        <v>69</v>
      </c>
    </row>
  </sheetData>
  <dataValidations count="1">
    <dataValidation type="list" allowBlank="1" showInputMessage="1" showErrorMessage="1" sqref="C2:C100 I2:I100" xr:uid="{CCC1F2E4-7B80-4865-8FAC-FC9A379F2EDA}">
      <formula1>"Y,N"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A7A0-BFE5-4C37-B6A9-E603AD9798C6}">
  <dimension ref="A1:V101"/>
  <sheetViews>
    <sheetView workbookViewId="0"/>
  </sheetViews>
  <sheetFormatPr defaultRowHeight="15.5" x14ac:dyDescent="0.35"/>
  <cols>
    <col min="1" max="1" width="8.08203125" bestFit="1" customWidth="1"/>
    <col min="2" max="2" width="11.08203125" bestFit="1" customWidth="1"/>
    <col min="3" max="3" width="6" bestFit="1" customWidth="1"/>
    <col min="4" max="4" width="8.25" bestFit="1" customWidth="1"/>
    <col min="5" max="5" width="10.08203125" bestFit="1" customWidth="1"/>
    <col min="6" max="6" width="15" bestFit="1" customWidth="1"/>
    <col min="7" max="7" width="7.83203125" bestFit="1" customWidth="1"/>
    <col min="8" max="8" width="9.75" bestFit="1" customWidth="1"/>
    <col min="9" max="9" width="8.33203125" bestFit="1" customWidth="1"/>
    <col min="10" max="10" width="16.25" bestFit="1" customWidth="1"/>
    <col min="11" max="11" width="17.5" bestFit="1" customWidth="1"/>
    <col min="12" max="12" width="14.33203125" bestFit="1" customWidth="1"/>
    <col min="13" max="13" width="13.33203125" bestFit="1" customWidth="1"/>
    <col min="14" max="14" width="9.08203125" bestFit="1" customWidth="1"/>
    <col min="15" max="15" width="10.75" bestFit="1" customWidth="1"/>
    <col min="16" max="16" width="15.25" bestFit="1" customWidth="1"/>
    <col min="17" max="17" width="11.5" bestFit="1" customWidth="1"/>
    <col min="18" max="18" width="5.58203125" bestFit="1" customWidth="1"/>
    <col min="19" max="19" width="15.25" bestFit="1" customWidth="1"/>
    <col min="20" max="20" width="11.75" bestFit="1" customWidth="1"/>
    <col min="21" max="21" width="10.83203125" bestFit="1" customWidth="1"/>
    <col min="22" max="22" width="64" bestFit="1" customWidth="1"/>
  </cols>
  <sheetData>
    <row r="1" spans="1:22" x14ac:dyDescent="0.35">
      <c r="A1" s="7" t="s">
        <v>150</v>
      </c>
      <c r="B1" s="7" t="s">
        <v>128</v>
      </c>
      <c r="C1" s="7" t="s">
        <v>151</v>
      </c>
      <c r="D1" s="7" t="s">
        <v>152</v>
      </c>
      <c r="E1" s="7" t="s">
        <v>49</v>
      </c>
      <c r="F1" s="7" t="s">
        <v>153</v>
      </c>
      <c r="G1" s="7" t="s">
        <v>154</v>
      </c>
      <c r="H1" s="7" t="s">
        <v>155</v>
      </c>
      <c r="I1" s="7" t="s">
        <v>156</v>
      </c>
      <c r="J1" s="7" t="s">
        <v>157</v>
      </c>
      <c r="K1" s="7" t="s">
        <v>158</v>
      </c>
      <c r="L1" s="7" t="s">
        <v>159</v>
      </c>
      <c r="M1" s="7" t="s">
        <v>160</v>
      </c>
      <c r="N1" s="7" t="s">
        <v>161</v>
      </c>
      <c r="O1" s="7" t="s">
        <v>162</v>
      </c>
      <c r="P1" s="7" t="s">
        <v>163</v>
      </c>
      <c r="Q1" s="7" t="s">
        <v>164</v>
      </c>
      <c r="R1" s="11" t="s">
        <v>165</v>
      </c>
      <c r="S1" s="7" t="s">
        <v>166</v>
      </c>
      <c r="T1" s="7" t="s">
        <v>57</v>
      </c>
      <c r="U1" s="7" t="s">
        <v>167</v>
      </c>
      <c r="V1" s="7" t="s">
        <v>168</v>
      </c>
    </row>
    <row r="2" spans="1:22" x14ac:dyDescent="0.35">
      <c r="A2" s="4" t="s">
        <v>169</v>
      </c>
      <c r="B2" s="4" t="s">
        <v>140</v>
      </c>
      <c r="C2" s="4" t="s">
        <v>170</v>
      </c>
      <c r="D2" s="4" t="s">
        <v>171</v>
      </c>
      <c r="E2" s="4" t="s">
        <v>62</v>
      </c>
      <c r="F2" s="4" t="s">
        <v>172</v>
      </c>
      <c r="G2" s="4">
        <v>100000</v>
      </c>
      <c r="H2" s="4"/>
      <c r="I2" s="4" t="s">
        <v>85</v>
      </c>
      <c r="J2" s="4" t="s">
        <v>78</v>
      </c>
      <c r="K2" s="4" t="s">
        <v>78</v>
      </c>
      <c r="L2" s="4">
        <v>5.0000000000000001E-3</v>
      </c>
      <c r="M2" s="4" t="s">
        <v>173</v>
      </c>
      <c r="N2" s="4"/>
      <c r="O2" s="4"/>
      <c r="P2" s="4">
        <v>1</v>
      </c>
      <c r="Q2" s="4"/>
      <c r="R2" s="12" t="s">
        <v>174</v>
      </c>
      <c r="S2" s="4"/>
      <c r="T2" s="4"/>
      <c r="U2" s="4"/>
      <c r="V2" s="4" t="s">
        <v>175</v>
      </c>
    </row>
    <row r="3" spans="1:22" x14ac:dyDescent="0.35">
      <c r="A3" s="4" t="s">
        <v>176</v>
      </c>
      <c r="B3" s="4" t="s">
        <v>140</v>
      </c>
      <c r="C3" s="4" t="s">
        <v>170</v>
      </c>
      <c r="D3" s="4" t="s">
        <v>171</v>
      </c>
      <c r="E3" s="4" t="s">
        <v>62</v>
      </c>
      <c r="F3" s="4" t="s">
        <v>177</v>
      </c>
      <c r="G3" s="4">
        <v>50000</v>
      </c>
      <c r="H3" s="4"/>
      <c r="I3" s="4" t="s">
        <v>83</v>
      </c>
      <c r="J3" s="4" t="s">
        <v>178</v>
      </c>
      <c r="K3" s="4" t="s">
        <v>78</v>
      </c>
      <c r="L3" s="4">
        <v>4.0000000000000001E-3</v>
      </c>
      <c r="M3" s="4" t="s">
        <v>173</v>
      </c>
      <c r="N3" s="4"/>
      <c r="O3" s="4"/>
      <c r="P3" s="4">
        <v>1</v>
      </c>
      <c r="Q3" s="4"/>
      <c r="R3" s="12" t="s">
        <v>174</v>
      </c>
      <c r="S3" s="4"/>
      <c r="T3" s="4"/>
      <c r="U3" s="4"/>
      <c r="V3" s="4" t="s">
        <v>179</v>
      </c>
    </row>
    <row r="4" spans="1:22" x14ac:dyDescent="0.35">
      <c r="A4" s="4" t="s">
        <v>180</v>
      </c>
      <c r="B4" s="4" t="s">
        <v>142</v>
      </c>
      <c r="C4" s="4" t="s">
        <v>170</v>
      </c>
      <c r="D4" s="4" t="s">
        <v>171</v>
      </c>
      <c r="E4" s="4" t="s">
        <v>62</v>
      </c>
      <c r="F4" s="4" t="s">
        <v>172</v>
      </c>
      <c r="G4" s="4">
        <v>80000</v>
      </c>
      <c r="H4" s="4"/>
      <c r="I4" s="4" t="s">
        <v>45</v>
      </c>
      <c r="J4" s="4" t="s">
        <v>76</v>
      </c>
      <c r="K4" s="4" t="s">
        <v>78</v>
      </c>
      <c r="L4" s="4">
        <v>4.4999999999999997E-3</v>
      </c>
      <c r="M4" s="4" t="s">
        <v>41</v>
      </c>
      <c r="N4" s="4">
        <v>92</v>
      </c>
      <c r="O4" s="4"/>
      <c r="P4" s="4">
        <v>1</v>
      </c>
      <c r="Q4" s="4"/>
      <c r="R4" s="12" t="s">
        <v>174</v>
      </c>
      <c r="S4" s="4"/>
      <c r="T4" s="4"/>
      <c r="U4" s="4"/>
      <c r="V4" s="4" t="s">
        <v>181</v>
      </c>
    </row>
    <row r="5" spans="1:22" x14ac:dyDescent="0.35">
      <c r="A5" s="4" t="s">
        <v>182</v>
      </c>
      <c r="B5" s="4" t="s">
        <v>142</v>
      </c>
      <c r="C5" s="4" t="s">
        <v>170</v>
      </c>
      <c r="D5" s="4" t="s">
        <v>171</v>
      </c>
      <c r="E5" s="4" t="s">
        <v>62</v>
      </c>
      <c r="F5" s="4" t="s">
        <v>172</v>
      </c>
      <c r="G5" s="4">
        <v>60000</v>
      </c>
      <c r="H5" s="4"/>
      <c r="I5" s="4" t="s">
        <v>183</v>
      </c>
      <c r="J5" s="4" t="s">
        <v>78</v>
      </c>
      <c r="K5" s="4" t="s">
        <v>78</v>
      </c>
      <c r="L5" s="4">
        <v>5.0000000000000001E-3</v>
      </c>
      <c r="M5" s="4" t="s">
        <v>173</v>
      </c>
      <c r="N5" s="4"/>
      <c r="O5" s="4">
        <v>250000</v>
      </c>
      <c r="P5" s="4">
        <v>1</v>
      </c>
      <c r="Q5" s="4"/>
      <c r="R5" s="12" t="s">
        <v>174</v>
      </c>
      <c r="S5" s="4"/>
      <c r="T5" s="4"/>
      <c r="U5" s="4"/>
      <c r="V5" s="4" t="s">
        <v>184</v>
      </c>
    </row>
    <row r="6" spans="1:22" x14ac:dyDescent="0.35">
      <c r="A6" s="4" t="s">
        <v>185</v>
      </c>
      <c r="B6" s="4" t="s">
        <v>144</v>
      </c>
      <c r="C6" s="4" t="s">
        <v>170</v>
      </c>
      <c r="D6" s="4" t="s">
        <v>171</v>
      </c>
      <c r="E6" s="4" t="s">
        <v>62</v>
      </c>
      <c r="F6" s="4" t="s">
        <v>172</v>
      </c>
      <c r="G6" s="4">
        <v>100000</v>
      </c>
      <c r="H6" s="4"/>
      <c r="I6" s="4" t="s">
        <v>83</v>
      </c>
      <c r="J6" s="4" t="s">
        <v>178</v>
      </c>
      <c r="K6" s="4" t="s">
        <v>78</v>
      </c>
      <c r="L6" s="4">
        <v>5.0000000000000001E-3</v>
      </c>
      <c r="M6" s="4" t="s">
        <v>173</v>
      </c>
      <c r="N6" s="4"/>
      <c r="O6" s="4"/>
      <c r="P6" s="4">
        <v>1</v>
      </c>
      <c r="Q6" s="4"/>
      <c r="R6" s="12" t="s">
        <v>174</v>
      </c>
      <c r="S6" s="4"/>
      <c r="T6" s="4"/>
      <c r="U6" s="4"/>
      <c r="V6" s="4" t="s">
        <v>186</v>
      </c>
    </row>
    <row r="7" spans="1:22" x14ac:dyDescent="0.35">
      <c r="A7" s="4" t="s">
        <v>185</v>
      </c>
      <c r="B7" s="4" t="s">
        <v>144</v>
      </c>
      <c r="C7" s="4" t="s">
        <v>187</v>
      </c>
      <c r="D7" s="4" t="s">
        <v>188</v>
      </c>
      <c r="E7" s="4" t="s">
        <v>62</v>
      </c>
      <c r="F7" s="4" t="s">
        <v>189</v>
      </c>
      <c r="G7" s="4">
        <v>100000</v>
      </c>
      <c r="H7" s="4"/>
      <c r="I7" s="4"/>
      <c r="J7" s="4"/>
      <c r="K7" s="4"/>
      <c r="L7" s="4"/>
      <c r="M7" s="4"/>
      <c r="N7" s="4"/>
      <c r="O7" s="4"/>
      <c r="P7" s="4"/>
      <c r="Q7" s="4" t="s">
        <v>190</v>
      </c>
      <c r="R7" s="12" t="s">
        <v>191</v>
      </c>
      <c r="S7" s="4" t="s">
        <v>45</v>
      </c>
      <c r="T7" s="4"/>
      <c r="U7" s="4"/>
      <c r="V7" s="4" t="s">
        <v>192</v>
      </c>
    </row>
    <row r="8" spans="1:22" x14ac:dyDescent="0.35">
      <c r="A8" s="4" t="s">
        <v>193</v>
      </c>
      <c r="B8" s="4" t="s">
        <v>144</v>
      </c>
      <c r="C8" s="4" t="s">
        <v>170</v>
      </c>
      <c r="D8" s="4" t="s">
        <v>188</v>
      </c>
      <c r="E8" s="4" t="s">
        <v>62</v>
      </c>
      <c r="F8" s="4" t="s">
        <v>194</v>
      </c>
      <c r="G8" s="4">
        <v>100000</v>
      </c>
      <c r="H8" s="4"/>
      <c r="I8" s="4"/>
      <c r="J8" s="4"/>
      <c r="K8" s="4"/>
      <c r="L8" s="4"/>
      <c r="M8" s="4"/>
      <c r="N8" s="4"/>
      <c r="O8" s="4"/>
      <c r="P8" s="4"/>
      <c r="Q8" s="4" t="s">
        <v>190</v>
      </c>
      <c r="R8" s="12" t="s">
        <v>191</v>
      </c>
      <c r="S8" s="4" t="s">
        <v>45</v>
      </c>
      <c r="T8" s="4"/>
      <c r="U8" s="4"/>
      <c r="V8" s="4" t="s">
        <v>195</v>
      </c>
    </row>
    <row r="9" spans="1:22" x14ac:dyDescent="0.35">
      <c r="A9" s="4" t="s">
        <v>193</v>
      </c>
      <c r="B9" s="4" t="s">
        <v>144</v>
      </c>
      <c r="C9" s="4" t="s">
        <v>187</v>
      </c>
      <c r="D9" s="4" t="s">
        <v>188</v>
      </c>
      <c r="E9" s="4" t="s">
        <v>62</v>
      </c>
      <c r="F9" s="4" t="s">
        <v>189</v>
      </c>
      <c r="G9" s="4">
        <v>100000</v>
      </c>
      <c r="H9" s="4"/>
      <c r="I9" s="4"/>
      <c r="J9" s="4"/>
      <c r="K9" s="4"/>
      <c r="L9" s="4"/>
      <c r="M9" s="4"/>
      <c r="N9" s="4"/>
      <c r="O9" s="4"/>
      <c r="P9" s="4"/>
      <c r="Q9" s="4" t="s">
        <v>196</v>
      </c>
      <c r="R9" s="12" t="s">
        <v>197</v>
      </c>
      <c r="S9" s="4" t="s">
        <v>45</v>
      </c>
      <c r="T9" s="4"/>
      <c r="U9" s="4"/>
      <c r="V9" s="4" t="s">
        <v>198</v>
      </c>
    </row>
    <row r="10" spans="1:22" x14ac:dyDescent="0.35">
      <c r="A10" s="4" t="s">
        <v>199</v>
      </c>
      <c r="B10" s="4" t="s">
        <v>146</v>
      </c>
      <c r="C10" s="4" t="s">
        <v>170</v>
      </c>
      <c r="D10" s="4" t="s">
        <v>188</v>
      </c>
      <c r="E10" s="4" t="s">
        <v>65</v>
      </c>
      <c r="F10" s="4" t="s">
        <v>189</v>
      </c>
      <c r="G10" s="4">
        <v>2000</v>
      </c>
      <c r="H10" s="4"/>
      <c r="I10" s="4"/>
      <c r="J10" s="4"/>
      <c r="K10" s="4"/>
      <c r="L10" s="4"/>
      <c r="M10" s="4"/>
      <c r="N10" s="4"/>
      <c r="O10" s="4"/>
      <c r="P10" s="4"/>
      <c r="Q10" s="4" t="s">
        <v>190</v>
      </c>
      <c r="R10" s="12" t="s">
        <v>200</v>
      </c>
      <c r="S10" s="4" t="s">
        <v>80</v>
      </c>
      <c r="T10" s="4"/>
      <c r="U10" s="4"/>
      <c r="V10" s="4" t="s">
        <v>201</v>
      </c>
    </row>
    <row r="11" spans="1:22" x14ac:dyDescent="0.35">
      <c r="A11" s="4" t="s">
        <v>202</v>
      </c>
      <c r="B11" s="4" t="s">
        <v>146</v>
      </c>
      <c r="C11" s="4" t="s">
        <v>170</v>
      </c>
      <c r="D11" s="4" t="s">
        <v>188</v>
      </c>
      <c r="E11" s="4" t="s">
        <v>65</v>
      </c>
      <c r="F11" s="4" t="s">
        <v>194</v>
      </c>
      <c r="G11" s="4">
        <v>2000</v>
      </c>
      <c r="H11" s="4"/>
      <c r="I11" s="4"/>
      <c r="J11" s="4"/>
      <c r="K11" s="4"/>
      <c r="L11" s="4"/>
      <c r="M11" s="4"/>
      <c r="N11" s="4"/>
      <c r="O11" s="4"/>
      <c r="P11" s="4"/>
      <c r="Q11" s="4" t="s">
        <v>196</v>
      </c>
      <c r="R11" s="12" t="s">
        <v>203</v>
      </c>
      <c r="S11" s="4" t="s">
        <v>83</v>
      </c>
      <c r="T11" s="4"/>
      <c r="U11" s="4"/>
      <c r="V11" s="4" t="s">
        <v>204</v>
      </c>
    </row>
    <row r="12" spans="1:22" x14ac:dyDescent="0.35">
      <c r="A12" s="4" t="s">
        <v>205</v>
      </c>
      <c r="B12" s="4" t="s">
        <v>146</v>
      </c>
      <c r="C12" s="4" t="s">
        <v>170</v>
      </c>
      <c r="D12" s="4" t="s">
        <v>171</v>
      </c>
      <c r="E12" s="4" t="s">
        <v>65</v>
      </c>
      <c r="F12" s="4" t="s">
        <v>172</v>
      </c>
      <c r="G12" s="4">
        <v>1000</v>
      </c>
      <c r="H12" s="4"/>
      <c r="I12" s="4" t="s">
        <v>87</v>
      </c>
      <c r="J12" s="4" t="s">
        <v>80</v>
      </c>
      <c r="K12" s="4" t="s">
        <v>78</v>
      </c>
      <c r="L12" s="4">
        <v>3.0000000000000001E-3</v>
      </c>
      <c r="M12" s="4" t="s">
        <v>173</v>
      </c>
      <c r="N12" s="4"/>
      <c r="O12" s="4"/>
      <c r="P12" s="4">
        <v>1</v>
      </c>
      <c r="Q12" s="4"/>
      <c r="R12" s="12" t="s">
        <v>174</v>
      </c>
      <c r="S12" s="4"/>
      <c r="T12" s="4"/>
      <c r="U12" s="4"/>
      <c r="V12" s="4" t="s">
        <v>206</v>
      </c>
    </row>
    <row r="13" spans="1:22" x14ac:dyDescent="0.35">
      <c r="A13" s="4" t="s">
        <v>207</v>
      </c>
      <c r="B13" s="4" t="s">
        <v>148</v>
      </c>
      <c r="C13" s="4" t="s">
        <v>170</v>
      </c>
      <c r="D13" s="4" t="s">
        <v>188</v>
      </c>
      <c r="E13" s="4" t="s">
        <v>67</v>
      </c>
      <c r="F13" s="4" t="s">
        <v>194</v>
      </c>
      <c r="G13" s="4">
        <v>1000000</v>
      </c>
      <c r="H13" s="4"/>
      <c r="I13" s="4"/>
      <c r="J13" s="4"/>
      <c r="K13" s="4"/>
      <c r="L13" s="4"/>
      <c r="M13" s="4"/>
      <c r="N13" s="4"/>
      <c r="O13" s="4"/>
      <c r="P13" s="4"/>
      <c r="Q13" s="4" t="s">
        <v>196</v>
      </c>
      <c r="R13" s="12" t="s">
        <v>208</v>
      </c>
      <c r="S13" s="8">
        <v>46445</v>
      </c>
      <c r="T13" s="4"/>
      <c r="U13" s="4"/>
      <c r="V13" s="4" t="s">
        <v>209</v>
      </c>
    </row>
    <row r="14" spans="1:22" x14ac:dyDescent="0.35">
      <c r="R14" s="10"/>
    </row>
    <row r="15" spans="1:22" x14ac:dyDescent="0.35">
      <c r="R15" s="10"/>
    </row>
    <row r="16" spans="1:22" x14ac:dyDescent="0.35">
      <c r="R16" s="10"/>
    </row>
    <row r="17" spans="18:18" x14ac:dyDescent="0.35">
      <c r="R17" s="10"/>
    </row>
    <row r="18" spans="18:18" x14ac:dyDescent="0.35">
      <c r="R18" s="10"/>
    </row>
    <row r="19" spans="18:18" x14ac:dyDescent="0.35">
      <c r="R19" s="10"/>
    </row>
    <row r="20" spans="18:18" x14ac:dyDescent="0.35">
      <c r="R20" s="10"/>
    </row>
    <row r="21" spans="18:18" x14ac:dyDescent="0.35">
      <c r="R21" s="10"/>
    </row>
    <row r="22" spans="18:18" x14ac:dyDescent="0.35">
      <c r="R22" s="10"/>
    </row>
    <row r="23" spans="18:18" x14ac:dyDescent="0.35">
      <c r="R23" s="10"/>
    </row>
    <row r="24" spans="18:18" x14ac:dyDescent="0.35">
      <c r="R24" s="10"/>
    </row>
    <row r="25" spans="18:18" x14ac:dyDescent="0.35">
      <c r="R25" s="10"/>
    </row>
    <row r="26" spans="18:18" x14ac:dyDescent="0.35">
      <c r="R26" s="10"/>
    </row>
    <row r="27" spans="18:18" x14ac:dyDescent="0.35">
      <c r="R27" s="10"/>
    </row>
    <row r="28" spans="18:18" x14ac:dyDescent="0.35">
      <c r="R28" s="10"/>
    </row>
    <row r="29" spans="18:18" x14ac:dyDescent="0.35">
      <c r="R29" s="10"/>
    </row>
    <row r="30" spans="18:18" x14ac:dyDescent="0.35">
      <c r="R30" s="10"/>
    </row>
    <row r="31" spans="18:18" x14ac:dyDescent="0.35">
      <c r="R31" s="10"/>
    </row>
    <row r="32" spans="18:18" x14ac:dyDescent="0.35">
      <c r="R32" s="10"/>
    </row>
    <row r="33" spans="18:18" x14ac:dyDescent="0.35">
      <c r="R33" s="10"/>
    </row>
    <row r="34" spans="18:18" x14ac:dyDescent="0.35">
      <c r="R34" s="10"/>
    </row>
    <row r="35" spans="18:18" x14ac:dyDescent="0.35">
      <c r="R35" s="10"/>
    </row>
    <row r="36" spans="18:18" x14ac:dyDescent="0.35">
      <c r="R36" s="10"/>
    </row>
    <row r="37" spans="18:18" x14ac:dyDescent="0.35">
      <c r="R37" s="10"/>
    </row>
    <row r="38" spans="18:18" x14ac:dyDescent="0.35">
      <c r="R38" s="10"/>
    </row>
    <row r="39" spans="18:18" x14ac:dyDescent="0.35">
      <c r="R39" s="10"/>
    </row>
    <row r="40" spans="18:18" x14ac:dyDescent="0.35">
      <c r="R40" s="10"/>
    </row>
    <row r="41" spans="18:18" x14ac:dyDescent="0.35">
      <c r="R41" s="10"/>
    </row>
    <row r="42" spans="18:18" x14ac:dyDescent="0.35">
      <c r="R42" s="10"/>
    </row>
    <row r="43" spans="18:18" x14ac:dyDescent="0.35">
      <c r="R43" s="10"/>
    </row>
    <row r="44" spans="18:18" x14ac:dyDescent="0.35">
      <c r="R44" s="10"/>
    </row>
    <row r="45" spans="18:18" x14ac:dyDescent="0.35">
      <c r="R45" s="10"/>
    </row>
    <row r="46" spans="18:18" x14ac:dyDescent="0.35">
      <c r="R46" s="10"/>
    </row>
    <row r="47" spans="18:18" x14ac:dyDescent="0.35">
      <c r="R47" s="10"/>
    </row>
    <row r="48" spans="18:18" x14ac:dyDescent="0.35">
      <c r="R48" s="10"/>
    </row>
    <row r="49" spans="18:18" x14ac:dyDescent="0.35">
      <c r="R49" s="10"/>
    </row>
    <row r="50" spans="18:18" x14ac:dyDescent="0.35">
      <c r="R50" s="10"/>
    </row>
    <row r="51" spans="18:18" x14ac:dyDescent="0.35">
      <c r="R51" s="10"/>
    </row>
    <row r="52" spans="18:18" x14ac:dyDescent="0.35">
      <c r="R52" s="10"/>
    </row>
    <row r="53" spans="18:18" x14ac:dyDescent="0.35">
      <c r="R53" s="10"/>
    </row>
    <row r="54" spans="18:18" x14ac:dyDescent="0.35">
      <c r="R54" s="10"/>
    </row>
    <row r="55" spans="18:18" x14ac:dyDescent="0.35">
      <c r="R55" s="10"/>
    </row>
    <row r="56" spans="18:18" x14ac:dyDescent="0.35">
      <c r="R56" s="10"/>
    </row>
    <row r="57" spans="18:18" x14ac:dyDescent="0.35">
      <c r="R57" s="10"/>
    </row>
    <row r="58" spans="18:18" x14ac:dyDescent="0.35">
      <c r="R58" s="10"/>
    </row>
    <row r="59" spans="18:18" x14ac:dyDescent="0.35">
      <c r="R59" s="10"/>
    </row>
    <row r="60" spans="18:18" x14ac:dyDescent="0.35">
      <c r="R60" s="10"/>
    </row>
    <row r="61" spans="18:18" x14ac:dyDescent="0.35">
      <c r="R61" s="10"/>
    </row>
    <row r="62" spans="18:18" x14ac:dyDescent="0.35">
      <c r="R62" s="10"/>
    </row>
    <row r="63" spans="18:18" x14ac:dyDescent="0.35">
      <c r="R63" s="10"/>
    </row>
    <row r="64" spans="18:18" x14ac:dyDescent="0.35">
      <c r="R64" s="10"/>
    </row>
    <row r="65" spans="18:18" x14ac:dyDescent="0.35">
      <c r="R65" s="10"/>
    </row>
    <row r="66" spans="18:18" x14ac:dyDescent="0.35">
      <c r="R66" s="10"/>
    </row>
    <row r="67" spans="18:18" x14ac:dyDescent="0.35">
      <c r="R67" s="10"/>
    </row>
    <row r="68" spans="18:18" x14ac:dyDescent="0.35">
      <c r="R68" s="10"/>
    </row>
    <row r="69" spans="18:18" x14ac:dyDescent="0.35">
      <c r="R69" s="10"/>
    </row>
    <row r="70" spans="18:18" x14ac:dyDescent="0.35">
      <c r="R70" s="10"/>
    </row>
    <row r="71" spans="18:18" x14ac:dyDescent="0.35">
      <c r="R71" s="10"/>
    </row>
    <row r="72" spans="18:18" x14ac:dyDescent="0.35">
      <c r="R72" s="10"/>
    </row>
    <row r="73" spans="18:18" x14ac:dyDescent="0.35">
      <c r="R73" s="10"/>
    </row>
    <row r="74" spans="18:18" x14ac:dyDescent="0.35">
      <c r="R74" s="10"/>
    </row>
    <row r="75" spans="18:18" x14ac:dyDescent="0.35">
      <c r="R75" s="10"/>
    </row>
    <row r="76" spans="18:18" x14ac:dyDescent="0.35">
      <c r="R76" s="10"/>
    </row>
    <row r="77" spans="18:18" x14ac:dyDescent="0.35">
      <c r="R77" s="10"/>
    </row>
    <row r="78" spans="18:18" x14ac:dyDescent="0.35">
      <c r="R78" s="10"/>
    </row>
    <row r="79" spans="18:18" x14ac:dyDescent="0.35">
      <c r="R79" s="10"/>
    </row>
    <row r="80" spans="18:18" x14ac:dyDescent="0.35">
      <c r="R80" s="10"/>
    </row>
    <row r="81" spans="18:18" x14ac:dyDescent="0.35">
      <c r="R81" s="10"/>
    </row>
    <row r="82" spans="18:18" x14ac:dyDescent="0.35">
      <c r="R82" s="10"/>
    </row>
    <row r="83" spans="18:18" x14ac:dyDescent="0.35">
      <c r="R83" s="10"/>
    </row>
    <row r="84" spans="18:18" x14ac:dyDescent="0.35">
      <c r="R84" s="10"/>
    </row>
    <row r="85" spans="18:18" x14ac:dyDescent="0.35">
      <c r="R85" s="10"/>
    </row>
    <row r="86" spans="18:18" x14ac:dyDescent="0.35">
      <c r="R86" s="10"/>
    </row>
    <row r="87" spans="18:18" x14ac:dyDescent="0.35">
      <c r="R87" s="10"/>
    </row>
    <row r="88" spans="18:18" x14ac:dyDescent="0.35">
      <c r="R88" s="10"/>
    </row>
    <row r="89" spans="18:18" x14ac:dyDescent="0.35">
      <c r="R89" s="10"/>
    </row>
    <row r="90" spans="18:18" x14ac:dyDescent="0.35">
      <c r="R90" s="10"/>
    </row>
    <row r="91" spans="18:18" x14ac:dyDescent="0.35">
      <c r="R91" s="10"/>
    </row>
    <row r="92" spans="18:18" x14ac:dyDescent="0.35">
      <c r="R92" s="10"/>
    </row>
    <row r="93" spans="18:18" x14ac:dyDescent="0.35">
      <c r="R93" s="10"/>
    </row>
    <row r="94" spans="18:18" x14ac:dyDescent="0.35">
      <c r="R94" s="10"/>
    </row>
    <row r="95" spans="18:18" x14ac:dyDescent="0.35">
      <c r="R95" s="10"/>
    </row>
    <row r="96" spans="18:18" x14ac:dyDescent="0.35">
      <c r="R96" s="10"/>
    </row>
    <row r="97" spans="18:18" x14ac:dyDescent="0.35">
      <c r="R97" s="10"/>
    </row>
    <row r="98" spans="18:18" x14ac:dyDescent="0.35">
      <c r="R98" s="10"/>
    </row>
    <row r="99" spans="18:18" x14ac:dyDescent="0.35">
      <c r="R99" s="10"/>
    </row>
    <row r="100" spans="18:18" x14ac:dyDescent="0.35">
      <c r="R100" s="10"/>
    </row>
    <row r="101" spans="18:18" x14ac:dyDescent="0.35">
      <c r="R101" s="10"/>
    </row>
  </sheetData>
  <dataValidations count="5">
    <dataValidation type="list" allowBlank="1" showInputMessage="1" showErrorMessage="1" sqref="D2:D100" xr:uid="{1F424F5C-16F3-4FD0-AF6A-BBE484E32C10}">
      <formula1>"TRS,OPTION"</formula1>
    </dataValidation>
    <dataValidation type="list" allowBlank="1" showInputMessage="1" showErrorMessage="1" sqref="F2:F100" xr:uid="{DD613841-1775-403B-9577-67A84F39D797}">
      <formula1>"RECEIVE_EQUITY,PAY_EQUITY,BUY,SELL"</formula1>
    </dataValidation>
    <dataValidation type="list" allowBlank="1" showInputMessage="1" showErrorMessage="1" sqref="M2:M100" xr:uid="{0E2D2149-C37E-41DF-81F1-71E74CD4715C}">
      <formula1>"CURRENT,AVERAGE"</formula1>
    </dataValidation>
    <dataValidation type="list" allowBlank="1" showInputMessage="1" showErrorMessage="1" sqref="Q2:Q100" xr:uid="{C7449692-C6BD-4C2F-AAA9-967B4DB3EF26}">
      <formula1>"CALL,PUT"</formula1>
    </dataValidation>
    <dataValidation type="list" allowBlank="1" showInputMessage="1" showErrorMessage="1" sqref="J2:J100" xr:uid="{250F92B4-3657-465E-847D-0B64126E5C71}">
      <formula1>"NONE,1W,1M,3M,6M,1Y"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305C9-C6FC-47F9-9BE8-7E68CA97F710}">
  <dimension ref="A1:Q200"/>
  <sheetViews>
    <sheetView workbookViewId="0"/>
  </sheetViews>
  <sheetFormatPr defaultRowHeight="15.5" x14ac:dyDescent="0.35"/>
  <cols>
    <col min="1" max="1" width="255.58203125" bestFit="1" customWidth="1"/>
    <col min="2" max="2" width="6" bestFit="1" customWidth="1"/>
    <col min="3" max="3" width="8.25" bestFit="1" customWidth="1"/>
    <col min="4" max="4" width="13.08203125" bestFit="1" customWidth="1"/>
    <col min="5" max="5" width="10.08203125" bestFit="1" customWidth="1"/>
    <col min="6" max="9" width="6.33203125" bestFit="1" customWidth="1"/>
    <col min="10" max="10" width="9.83203125" bestFit="1" customWidth="1"/>
    <col min="11" max="11" width="7" bestFit="1" customWidth="1"/>
    <col min="12" max="12" width="13.5" bestFit="1" customWidth="1"/>
    <col min="13" max="13" width="7" bestFit="1" customWidth="1"/>
    <col min="14" max="14" width="11.58203125" bestFit="1" customWidth="1"/>
    <col min="15" max="15" width="13.75" bestFit="1" customWidth="1"/>
    <col min="16" max="16" width="11.33203125" bestFit="1" customWidth="1"/>
    <col min="17" max="17" width="21" bestFit="1" customWidth="1"/>
  </cols>
  <sheetData>
    <row r="1" spans="1:17" x14ac:dyDescent="0.35">
      <c r="A1" t="s">
        <v>211</v>
      </c>
      <c r="B1" s="4">
        <v>0.5</v>
      </c>
      <c r="D1" t="s">
        <v>212</v>
      </c>
      <c r="E1" s="6">
        <f>Config!B2</f>
        <v>46304</v>
      </c>
    </row>
    <row r="2" spans="1:17" x14ac:dyDescent="0.35">
      <c r="A2" s="15" t="s">
        <v>213</v>
      </c>
    </row>
    <row r="3" spans="1:17" x14ac:dyDescent="0.35">
      <c r="A3" s="7" t="s">
        <v>150</v>
      </c>
      <c r="B3" s="7" t="s">
        <v>151</v>
      </c>
      <c r="C3" s="7" t="s">
        <v>152</v>
      </c>
      <c r="D3" s="7" t="s">
        <v>49</v>
      </c>
      <c r="E3" s="7" t="s">
        <v>214</v>
      </c>
      <c r="F3" s="7" t="s">
        <v>215</v>
      </c>
      <c r="G3" s="7" t="s">
        <v>99</v>
      </c>
      <c r="H3" s="7" t="s">
        <v>216</v>
      </c>
      <c r="I3" s="7" t="s">
        <v>217</v>
      </c>
      <c r="J3" s="7" t="s">
        <v>218</v>
      </c>
      <c r="K3" s="7" t="s">
        <v>219</v>
      </c>
      <c r="L3" s="7" t="s">
        <v>154</v>
      </c>
      <c r="M3" s="7" t="s">
        <v>220</v>
      </c>
      <c r="N3" s="7" t="s">
        <v>221</v>
      </c>
      <c r="O3" s="7" t="s">
        <v>222</v>
      </c>
      <c r="P3" s="7" t="s">
        <v>223</v>
      </c>
      <c r="Q3" s="7" t="s">
        <v>224</v>
      </c>
    </row>
    <row r="4" spans="1:17" x14ac:dyDescent="0.35">
      <c r="A4" t="str">
        <f>IF(Trades!$A2="","",Trades!$A2)</f>
        <v>T001</v>
      </c>
      <c r="B4" t="str">
        <f>IF(A4="","",Trades!$C2)</f>
        <v>L1</v>
      </c>
      <c r="C4" t="str">
        <f>IF(A4="","",UPPER(Trades!$D2))</f>
        <v>TRS</v>
      </c>
      <c r="D4" t="str">
        <f>IF(A4="","",Trades!$E2)</f>
        <v>STOCK_A</v>
      </c>
      <c r="E4" s="13">
        <f>IF(A4="","",INDEX(Market!$J:$J,MATCH(D4,Market!$A:$A,0)))</f>
        <v>100</v>
      </c>
      <c r="F4" s="13">
        <f>IF(A4="","",INDEX(Market!$K:$K,MATCH(D4,Market!$A:$A,0)))</f>
        <v>1.4999999999999999E-2</v>
      </c>
      <c r="G4" s="13">
        <f>IF(A4="","",IF(AND(C4="OPTION",Trades!$T2&lt;&gt;""),Trades!$T2,INDEX(Market!$L:$L,MATCH(D4,Market!$A:$A,0))))</f>
        <v>0.28000000000000003</v>
      </c>
      <c r="H4" s="13">
        <f>IF(A4="","",IF(ISNUMBER(IF(C4="OPTION",Trades!$S2,Trades!$I2)),(IF(C4="OPTION",Trades!$S2,Trades!$I2)-Config!$B$2)/365,VALUE(LEFT(IF(C4="OPTION",Trades!$S2,Trades!$I2),LEN(IF(C4="OPTION",Trades!$S2,Trades!$I2))-1))*CHOOSE(MATCH(RIGHT(IF(C4="OPTION",Trades!$S2,Trades!$I2),1),{"D","W","M","Y"},0),1/365,7/365,1/12,1)))</f>
        <v>3</v>
      </c>
      <c r="I4" s="13">
        <f>IF(A4="","",IFERROR(LOOKUP(2,1/((Curve!$G$2:$G$200=IF(IFERROR(INDEX(Market!$M:$M,MATCH(D4,Market!$A:$A,0))&amp;"","")="",IFERROR(VLOOKUP("reporting_ccy",Config!$A:$B,2,FALSE),""),INDEX(Market!$M:$M,MATCH(D4,Market!$A:$A,0))))*(Curve!$F$2:$F$200&lt;=H4)),Curve!$E$2:$E$200),IFERROR(INDEX(Curve!$E:$E,MATCH(IF(IFERROR(INDEX(Market!$M:$M,MATCH(D4,Market!$A:$A,0))&amp;"","")="",IFERROR(VLOOKUP("reporting_ccy",Config!$A:$B,2,FALSE),""),INDEX(Market!$M:$M,MATCH(D4,Market!$A:$A,0))),Curve!$G:$G,0)),Curve!$E$2)))</f>
        <v>3.5999999999999997E-2</v>
      </c>
      <c r="J4" s="13">
        <f>IF(A4="","",IF(C4="OPTION",IF(ISNUMBER(Trades!$R2),Trades!$R2,IF(RIGHT(Trades!$R2,1)="%",VALUE(SUBSTITUTE(Trades!$R2,"%",""))/100*E4,VALUE(Trades!$R2))),IF(UPPER(Trades!$M2)="AVERAGE",Trades!$N2,E4)))</f>
        <v>100</v>
      </c>
      <c r="K4" s="13">
        <f>IF(A4="","",IF(OR(UPPER(Trades!$F2)="BUY",UPPER(Trades!$F2)="RECEIVE_EQUITY"),1,-1))</f>
        <v>1</v>
      </c>
      <c r="L4" s="13">
        <f>IF(A4="","",Trades!$G2)</f>
        <v>100000</v>
      </c>
      <c r="M4" s="13">
        <f>IF(A4="","",(LN(E4/J4)+(I4-F4+G4^2/2)*H4)/(G4*SQRT(H4)))</f>
        <v>0.37239092362730863</v>
      </c>
      <c r="N4" s="14">
        <f>IF(A4="","",IF(C4="OPTION",K4*L4*IF(LEFT(UPPER(Trades!$Q2),1)="C",(E4*EXP(-F4*H4)*_xlfn.NORM.S.DIST(M4,TRUE)-J4*EXP(-I4*H4)*_xlfn.NORM.S.DIST(M4-G4*SQRT(H4),TRUE)),(J4*EXP(-I4*H4)*_xlfn.NORM.S.DIST(-(M4-G4*SQRT(H4)),TRUE)-E4*EXP(-F4*H4)*_xlfn.NORM.S.DIST(-M4,TRUE))),K4*L4*(E4-J4)+IF(UPPER(Trades!$M2)="AVERAGE",0,N(Trades!$O2))-K4*L4*J4*N(Trades!$L2)*H4*365/360*EXP(-I4*H4/2)))</f>
        <v>-144088.63286381518</v>
      </c>
      <c r="O4" s="14">
        <f>IF(A4="","",SUMIFS(LegMTM!$F:$F,LegMTM!$B:$B,A4,LegMTM!$C:$C,B4))</f>
        <v>0</v>
      </c>
      <c r="P4" s="14">
        <f>IF(A4="","",N4-O4)</f>
        <v>-144088.63286381518</v>
      </c>
      <c r="Q4" s="14" t="str">
        <f>IF(A4="","",IF($B$1&gt;=H4,0,IF(C4="OPTION",IF(K4&gt;0,N4*EXP(I4*$B$1),0),IF(OR(UPPER(Trades!$J2)="",UPPER(Trades!$J2)="NONE"),IF(K4&gt;0,L4*((E4*EXP((I4-F4)*$B$1))*_xlfn.NORM.S.DIST(((LN(E4/J4)-F4*$B$1+G4^2/2*$B$1)/(G4*SQRT($B$1))),TRUE)-(J4*EXP(I4*$B$1))*_xlfn.NORM.S.DIST(((LN(E4/J4)-F4*$B$1+G4^2/2*$B$1)/(G4*SQRT($B$1)))-G4*SQRT($B$1),TRUE)),L4*((J4*EXP(I4*$B$1))*_xlfn.NORM.S.DIST(-(((LN(E4/J4)-F4*$B$1+G4^2/2*$B$1)/(G4*SQRT($B$1)))-G4*SQRT($B$1)),TRUE)-(E4*EXP((I4-F4)*$B$1))*_xlfn.NORM.S.DIST(-((LN(E4/J4)-F4*$B$1+G4^2/2*$B$1)/(G4*SQRT($B$1))),TRUE))),"reset: see AnalyticCheck"))))</f>
        <v>reset: see AnalyticCheck</v>
      </c>
    </row>
    <row r="5" spans="1:17" x14ac:dyDescent="0.35">
      <c r="A5" t="str">
        <f>IF(Trades!$A3="","",Trades!$A3)</f>
        <v>T002</v>
      </c>
      <c r="B5" t="str">
        <f>IF(A5="","",Trades!$C3)</f>
        <v>L1</v>
      </c>
      <c r="C5" t="str">
        <f>IF(A5="","",UPPER(Trades!$D3))</f>
        <v>TRS</v>
      </c>
      <c r="D5" t="str">
        <f>IF(A5="","",Trades!$E3)</f>
        <v>STOCK_A</v>
      </c>
      <c r="E5" s="13">
        <f>IF(A5="","",INDEX(Market!$J:$J,MATCH(D5,Market!$A:$A,0)))</f>
        <v>100</v>
      </c>
      <c r="F5" s="13">
        <f>IF(A5="","",INDEX(Market!$K:$K,MATCH(D5,Market!$A:$A,0)))</f>
        <v>1.4999999999999999E-2</v>
      </c>
      <c r="G5" s="13">
        <f>IF(A5="","",IF(AND(C5="OPTION",Trades!$T3&lt;&gt;""),Trades!$T3,INDEX(Market!$L:$L,MATCH(D5,Market!$A:$A,0))))</f>
        <v>0.28000000000000003</v>
      </c>
      <c r="H5" s="13">
        <f>IF(A5="","",IF(ISNUMBER(IF(C5="OPTION",Trades!$S3,Trades!$I3)),(IF(C5="OPTION",Trades!$S3,Trades!$I3)-Config!$B$2)/365,VALUE(LEFT(IF(C5="OPTION",Trades!$S3,Trades!$I3),LEN(IF(C5="OPTION",Trades!$S3,Trades!$I3))-1))*CHOOSE(MATCH(RIGHT(IF(C5="OPTION",Trades!$S3,Trades!$I3),1),{"D","W","M","Y"},0),1/365,7/365,1/12,1)))</f>
        <v>2</v>
      </c>
      <c r="I5" s="13">
        <f>IF(A5="","",IFERROR(LOOKUP(2,1/((Curve!$G$2:$G$200=IF(IFERROR(INDEX(Market!$M:$M,MATCH(D5,Market!$A:$A,0))&amp;"","")="",IFERROR(VLOOKUP("reporting_ccy",Config!$A:$B,2,FALSE),""),INDEX(Market!$M:$M,MATCH(D5,Market!$A:$A,0))))*(Curve!$F$2:$F$200&lt;=H5)),Curve!$E$2:$E$200),IFERROR(INDEX(Curve!$E:$E,MATCH(IF(IFERROR(INDEX(Market!$M:$M,MATCH(D5,Market!$A:$A,0))&amp;"","")="",IFERROR(VLOOKUP("reporting_ccy",Config!$A:$B,2,FALSE),""),INDEX(Market!$M:$M,MATCH(D5,Market!$A:$A,0))),Curve!$G:$G,0)),Curve!$E$2)))</f>
        <v>3.6499999999999998E-2</v>
      </c>
      <c r="J5" s="13">
        <f>IF(A5="","",IF(C5="OPTION",IF(ISNUMBER(Trades!$R3),Trades!$R3,IF(RIGHT(Trades!$R3,1)="%",VALUE(SUBSTITUTE(Trades!$R3,"%",""))/100*E5,VALUE(Trades!$R3))),IF(UPPER(Trades!$M3)="AVERAGE",Trades!$N3,E5)))</f>
        <v>100</v>
      </c>
      <c r="K5" s="13">
        <f>IF(A5="","",IF(OR(UPPER(Trades!$F3)="BUY",UPPER(Trades!$F3)="RECEIVE_EQUITY"),1,-1))</f>
        <v>-1</v>
      </c>
      <c r="L5" s="13">
        <f>IF(A5="","",Trades!$G3)</f>
        <v>50000</v>
      </c>
      <c r="M5" s="13">
        <f>IF(A5="","",(LN(E5/J5)+(I5-F5+G5^2/2)*H5)/(G5*SQRT(H5)))</f>
        <v>0.30658129727159594</v>
      </c>
      <c r="N5" s="14">
        <f>IF(A5="","",IF(C5="OPTION",K5*L5*IF(LEFT(UPPER(Trades!$Q3),1)="C",(E5*EXP(-F5*H5)*_xlfn.NORM.S.DIST(M5,TRUE)-J5*EXP(-I5*H5)*_xlfn.NORM.S.DIST(M5-G5*SQRT(H5),TRUE)),(J5*EXP(-I5*H5)*_xlfn.NORM.S.DIST(-(M5-G5*SQRT(H5)),TRUE)-E5*EXP(-F5*H5)*_xlfn.NORM.S.DIST(-M5,TRUE))),K5*L5*(E5-J5)+IF(UPPER(Trades!$M3)="AVERAGE",0,N(Trades!$O3))-K5*L5*J5*N(Trades!$L3)*H5*365/360*EXP(-I5*H5/2)))</f>
        <v>39101.96714135092</v>
      </c>
      <c r="O5" s="14">
        <f>IF(A5="","",SUMIFS(LegMTM!$F:$F,LegMTM!$B:$B,A5,LegMTM!$C:$C,B5))</f>
        <v>0</v>
      </c>
      <c r="P5" s="14">
        <f>IF(A5="","",N5-O5)</f>
        <v>39101.96714135092</v>
      </c>
      <c r="Q5" s="14">
        <f>IF(A5="","",IF($B$1&gt;=H5,0,IF(C5="OPTION",IF(K5&gt;0,N5*EXP(I5*$B$1),0),IF(OR(UPPER(Trades!$J3)="",UPPER(Trades!$J3)="NONE"),IF(K5&gt;0,L5*((E5*EXP((I5-F5)*$B$1))*_xlfn.NORM.S.DIST(((LN(E5/J5)-F5*$B$1+G5^2/2*$B$1)/(G5*SQRT($B$1))),TRUE)-(J5*EXP(I5*$B$1))*_xlfn.NORM.S.DIST(((LN(E5/J5)-F5*$B$1+G5^2/2*$B$1)/(G5*SQRT($B$1)))-G5*SQRT($B$1),TRUE)),L5*((J5*EXP(I5*$B$1))*_xlfn.NORM.S.DIST(-(((LN(E5/J5)-F5*$B$1+G5^2/2*$B$1)/(G5*SQRT($B$1)))-G5*SQRT($B$1)),TRUE)-(E5*EXP((I5-F5)*$B$1))*_xlfn.NORM.S.DIST(-((LN(E5/J5)-F5*$B$1+G5^2/2*$B$1)/(G5*SQRT($B$1))),TRUE))),"reset: see AnalyticCheck"))))</f>
        <v>419360.20084639016</v>
      </c>
    </row>
    <row r="6" spans="1:17" x14ac:dyDescent="0.35">
      <c r="A6" t="str">
        <f>IF(Trades!$A4="","",Trades!$A4)</f>
        <v>T003</v>
      </c>
      <c r="B6" t="str">
        <f>IF(A6="","",Trades!$C4)</f>
        <v>L1</v>
      </c>
      <c r="C6" t="str">
        <f>IF(A6="","",UPPER(Trades!$D4))</f>
        <v>TRS</v>
      </c>
      <c r="D6" t="str">
        <f>IF(A6="","",Trades!$E4)</f>
        <v>STOCK_A</v>
      </c>
      <c r="E6" s="13">
        <f>IF(A6="","",INDEX(Market!$J:$J,MATCH(D6,Market!$A:$A,0)))</f>
        <v>100</v>
      </c>
      <c r="F6" s="13">
        <f>IF(A6="","",INDEX(Market!$K:$K,MATCH(D6,Market!$A:$A,0)))</f>
        <v>1.4999999999999999E-2</v>
      </c>
      <c r="G6" s="13">
        <f>IF(A6="","",IF(AND(C6="OPTION",Trades!$T4&lt;&gt;""),Trades!$T4,INDEX(Market!$L:$L,MATCH(D6,Market!$A:$A,0))))</f>
        <v>0.28000000000000003</v>
      </c>
      <c r="H6" s="13">
        <f>IF(A6="","",IF(ISNUMBER(IF(C6="OPTION",Trades!$S4,Trades!$I4)),(IF(C6="OPTION",Trades!$S4,Trades!$I4)-Config!$B$2)/365,VALUE(LEFT(IF(C6="OPTION",Trades!$S4,Trades!$I4),LEN(IF(C6="OPTION",Trades!$S4,Trades!$I4))-1))*CHOOSE(MATCH(RIGHT(IF(C6="OPTION",Trades!$S4,Trades!$I4),1),{"D","W","M","Y"},0),1/365,7/365,1/12,1)))</f>
        <v>1</v>
      </c>
      <c r="I6" s="13">
        <f>IF(A6="","",IFERROR(LOOKUP(2,1/((Curve!$G$2:$G$200=IF(IFERROR(INDEX(Market!$M:$M,MATCH(D6,Market!$A:$A,0))&amp;"","")="",IFERROR(VLOOKUP("reporting_ccy",Config!$A:$B,2,FALSE),""),INDEX(Market!$M:$M,MATCH(D6,Market!$A:$A,0))))*(Curve!$F$2:$F$200&lt;=H6)),Curve!$E$2:$E$200),IFERROR(INDEX(Curve!$E:$E,MATCH(IF(IFERROR(INDEX(Market!$M:$M,MATCH(D6,Market!$A:$A,0))&amp;"","")="",IFERROR(VLOOKUP("reporting_ccy",Config!$A:$B,2,FALSE),""),INDEX(Market!$M:$M,MATCH(D6,Market!$A:$A,0))),Curve!$G:$G,0)),Curve!$E$2)))</f>
        <v>3.7999999999999999E-2</v>
      </c>
      <c r="J6" s="13">
        <f>IF(A6="","",IF(C6="OPTION",IF(ISNUMBER(Trades!$R4),Trades!$R4,IF(RIGHT(Trades!$R4,1)="%",VALUE(SUBSTITUTE(Trades!$R4,"%",""))/100*E6,VALUE(Trades!$R4))),IF(UPPER(Trades!$M4)="AVERAGE",Trades!$N4,E6)))</f>
        <v>92</v>
      </c>
      <c r="K6" s="13">
        <f>IF(A6="","",IF(OR(UPPER(Trades!$F4)="BUY",UPPER(Trades!$F4)="RECEIVE_EQUITY"),1,-1))</f>
        <v>1</v>
      </c>
      <c r="L6" s="13">
        <f>IF(A6="","",Trades!$G4)</f>
        <v>80000</v>
      </c>
      <c r="M6" s="13">
        <f>IF(A6="","",(LN(E6/J6)+(I6-F6+G6^2/2)*H6)/(G6*SQRT(H6)))</f>
        <v>0.51993431763946785</v>
      </c>
      <c r="N6" s="14">
        <f>IF(A6="","",IF(C6="OPTION",K6*L6*IF(LEFT(UPPER(Trades!$Q4),1)="C",(E6*EXP(-F6*H6)*_xlfn.NORM.S.DIST(M6,TRUE)-J6*EXP(-I6*H6)*_xlfn.NORM.S.DIST(M6-G6*SQRT(H6),TRUE)),(J6*EXP(-I6*H6)*_xlfn.NORM.S.DIST(-(M6-G6*SQRT(H6)),TRUE)-E6*EXP(-F6*H6)*_xlfn.NORM.S.DIST(-M6,TRUE))),K6*L6*(E6-J6)+IF(UPPER(Trades!$M4)="AVERAGE",0,N(Trades!$O4))-K6*L6*J6*N(Trades!$L4)*H6*365/360*EXP(-I6*H6/2)))</f>
        <v>607051.99701588659</v>
      </c>
      <c r="O6" s="14">
        <f>IF(A6="","",SUMIFS(LegMTM!$F:$F,LegMTM!$B:$B,A6,LegMTM!$C:$C,B6))</f>
        <v>0</v>
      </c>
      <c r="P6" s="14">
        <f>IF(A6="","",N6-O6)</f>
        <v>607051.99701588659</v>
      </c>
      <c r="Q6" s="14" t="str">
        <f>IF(A6="","",IF($B$1&gt;=H6,0,IF(C6="OPTION",IF(K6&gt;0,N6*EXP(I6*$B$1),0),IF(OR(UPPER(Trades!$J4)="",UPPER(Trades!$J4)="NONE"),IF(K6&gt;0,L6*((E6*EXP((I6-F6)*$B$1))*_xlfn.NORM.S.DIST(((LN(E6/J6)-F6*$B$1+G6^2/2*$B$1)/(G6*SQRT($B$1))),TRUE)-(J6*EXP(I6*$B$1))*_xlfn.NORM.S.DIST(((LN(E6/J6)-F6*$B$1+G6^2/2*$B$1)/(G6*SQRT($B$1)))-G6*SQRT($B$1),TRUE)),L6*((J6*EXP(I6*$B$1))*_xlfn.NORM.S.DIST(-(((LN(E6/J6)-F6*$B$1+G6^2/2*$B$1)/(G6*SQRT($B$1)))-G6*SQRT($B$1)),TRUE)-(E6*EXP((I6-F6)*$B$1))*_xlfn.NORM.S.DIST(-((LN(E6/J6)-F6*$B$1+G6^2/2*$B$1)/(G6*SQRT($B$1))),TRUE))),"reset: see AnalyticCheck"))))</f>
        <v>reset: see AnalyticCheck</v>
      </c>
    </row>
    <row r="7" spans="1:17" x14ac:dyDescent="0.35">
      <c r="A7" t="str">
        <f>IF(Trades!$A5="","",Trades!$A5)</f>
        <v>T004</v>
      </c>
      <c r="B7" t="str">
        <f>IF(A7="","",Trades!$C5)</f>
        <v>L1</v>
      </c>
      <c r="C7" t="str">
        <f>IF(A7="","",UPPER(Trades!$D5))</f>
        <v>TRS</v>
      </c>
      <c r="D7" t="str">
        <f>IF(A7="","",Trades!$E5)</f>
        <v>STOCK_A</v>
      </c>
      <c r="E7" s="13">
        <f>IF(A7="","",INDEX(Market!$J:$J,MATCH(D7,Market!$A:$A,0)))</f>
        <v>100</v>
      </c>
      <c r="F7" s="13">
        <f>IF(A7="","",INDEX(Market!$K:$K,MATCH(D7,Market!$A:$A,0)))</f>
        <v>1.4999999999999999E-2</v>
      </c>
      <c r="G7" s="13">
        <f>IF(A7="","",IF(AND(C7="OPTION",Trades!$T5&lt;&gt;""),Trades!$T5,INDEX(Market!$L:$L,MATCH(D7,Market!$A:$A,0))))</f>
        <v>0.28000000000000003</v>
      </c>
      <c r="H7" s="13">
        <f>IF(A7="","",IF(ISNUMBER(IF(C7="OPTION",Trades!$S5,Trades!$I5)),(IF(C7="OPTION",Trades!$S5,Trades!$I5)-Config!$B$2)/365,VALUE(LEFT(IF(C7="OPTION",Trades!$S5,Trades!$I5),LEN(IF(C7="OPTION",Trades!$S5,Trades!$I5))-1))*CHOOSE(MATCH(RIGHT(IF(C7="OPTION",Trades!$S5,Trades!$I5),1),{"D","W","M","Y"},0),1/365,7/365,1/12,1)))</f>
        <v>1.5</v>
      </c>
      <c r="I7" s="13">
        <f>IF(A7="","",IFERROR(LOOKUP(2,1/((Curve!$G$2:$G$200=IF(IFERROR(INDEX(Market!$M:$M,MATCH(D7,Market!$A:$A,0))&amp;"","")="",IFERROR(VLOOKUP("reporting_ccy",Config!$A:$B,2,FALSE),""),INDEX(Market!$M:$M,MATCH(D7,Market!$A:$A,0))))*(Curve!$F$2:$F$200&lt;=H7)),Curve!$E$2:$E$200),IFERROR(INDEX(Curve!$E:$E,MATCH(IF(IFERROR(INDEX(Market!$M:$M,MATCH(D7,Market!$A:$A,0))&amp;"","")="",IFERROR(VLOOKUP("reporting_ccy",Config!$A:$B,2,FALSE),""),INDEX(Market!$M:$M,MATCH(D7,Market!$A:$A,0))),Curve!$G:$G,0)),Curve!$E$2)))</f>
        <v>3.7999999999999999E-2</v>
      </c>
      <c r="J7" s="13">
        <f>IF(A7="","",IF(C7="OPTION",IF(ISNUMBER(Trades!$R5),Trades!$R5,IF(RIGHT(Trades!$R5,1)="%",VALUE(SUBSTITUTE(Trades!$R5,"%",""))/100*E7,VALUE(Trades!$R5))),IF(UPPER(Trades!$M5)="AVERAGE",Trades!$N5,E7)))</f>
        <v>100</v>
      </c>
      <c r="K7" s="13">
        <f>IF(A7="","",IF(OR(UPPER(Trades!$F5)="BUY",UPPER(Trades!$F5)="RECEIVE_EQUITY"),1,-1))</f>
        <v>1</v>
      </c>
      <c r="L7" s="13">
        <f>IF(A7="","",Trades!$G5)</f>
        <v>60000</v>
      </c>
      <c r="M7" s="13">
        <f>IF(A7="","",(LN(E7/J7)+(I7-F7+G7^2/2)*H7)/(G7*SQRT(H7)))</f>
        <v>0.27206832500198874</v>
      </c>
      <c r="N7" s="14">
        <f>IF(A7="","",IF(C7="OPTION",K7*L7*IF(LEFT(UPPER(Trades!$Q5),1)="C",(E7*EXP(-F7*H7)*_xlfn.NORM.S.DIST(M7,TRUE)-J7*EXP(-I7*H7)*_xlfn.NORM.S.DIST(M7-G7*SQRT(H7),TRUE)),(J7*EXP(-I7*H7)*_xlfn.NORM.S.DIST(-(M7-G7*SQRT(H7)),TRUE)-E7*EXP(-F7*H7)*_xlfn.NORM.S.DIST(-M7,TRUE))),K7*L7*(E7-J7)+IF(UPPER(Trades!$M5)="AVERAGE",0,N(Trades!$O5))-K7*L7*J7*N(Trades!$L5)*H7*365/360*EXP(-I7*H7/2)))</f>
        <v>205656.9578295825</v>
      </c>
      <c r="O7" s="14">
        <f>IF(A7="","",SUMIFS(LegMTM!$F:$F,LegMTM!$B:$B,A7,LegMTM!$C:$C,B7))</f>
        <v>0</v>
      </c>
      <c r="P7" s="14">
        <f>IF(A7="","",N7-O7)</f>
        <v>205656.9578295825</v>
      </c>
      <c r="Q7" s="14" t="str">
        <f>IF(A7="","",IF($B$1&gt;=H7,0,IF(C7="OPTION",IF(K7&gt;0,N7*EXP(I7*$B$1),0),IF(OR(UPPER(Trades!$J5)="",UPPER(Trades!$J5)="NONE"),IF(K7&gt;0,L7*((E7*EXP((I7-F7)*$B$1))*_xlfn.NORM.S.DIST(((LN(E7/J7)-F7*$B$1+G7^2/2*$B$1)/(G7*SQRT($B$1))),TRUE)-(J7*EXP(I7*$B$1))*_xlfn.NORM.S.DIST(((LN(E7/J7)-F7*$B$1+G7^2/2*$B$1)/(G7*SQRT($B$1)))-G7*SQRT($B$1),TRUE)),L7*((J7*EXP(I7*$B$1))*_xlfn.NORM.S.DIST(-(((LN(E7/J7)-F7*$B$1+G7^2/2*$B$1)/(G7*SQRT($B$1)))-G7*SQRT($B$1)),TRUE)-(E7*EXP((I7-F7)*$B$1))*_xlfn.NORM.S.DIST(-((LN(E7/J7)-F7*$B$1+G7^2/2*$B$1)/(G7*SQRT($B$1))),TRUE))),"reset: see AnalyticCheck"))))</f>
        <v>reset: see AnalyticCheck</v>
      </c>
    </row>
    <row r="8" spans="1:17" x14ac:dyDescent="0.35">
      <c r="A8" t="str">
        <f>IF(Trades!$A6="","",Trades!$A6)</f>
        <v>T005</v>
      </c>
      <c r="B8" t="str">
        <f>IF(A8="","",Trades!$C6)</f>
        <v>L1</v>
      </c>
      <c r="C8" t="str">
        <f>IF(A8="","",UPPER(Trades!$D6))</f>
        <v>TRS</v>
      </c>
      <c r="D8" t="str">
        <f>IF(A8="","",Trades!$E6)</f>
        <v>STOCK_A</v>
      </c>
      <c r="E8" s="13">
        <f>IF(A8="","",INDEX(Market!$J:$J,MATCH(D8,Market!$A:$A,0)))</f>
        <v>100</v>
      </c>
      <c r="F8" s="13">
        <f>IF(A8="","",INDEX(Market!$K:$K,MATCH(D8,Market!$A:$A,0)))</f>
        <v>1.4999999999999999E-2</v>
      </c>
      <c r="G8" s="13">
        <f>IF(A8="","",IF(AND(C8="OPTION",Trades!$T6&lt;&gt;""),Trades!$T6,INDEX(Market!$L:$L,MATCH(D8,Market!$A:$A,0))))</f>
        <v>0.28000000000000003</v>
      </c>
      <c r="H8" s="13">
        <f>IF(A8="","",IF(ISNUMBER(IF(C8="OPTION",Trades!$S6,Trades!$I6)),(IF(C8="OPTION",Trades!$S6,Trades!$I6)-Config!$B$2)/365,VALUE(LEFT(IF(C8="OPTION",Trades!$S6,Trades!$I6),LEN(IF(C8="OPTION",Trades!$S6,Trades!$I6))-1))*CHOOSE(MATCH(RIGHT(IF(C8="OPTION",Trades!$S6,Trades!$I6),1),{"D","W","M","Y"},0),1/365,7/365,1/12,1)))</f>
        <v>2</v>
      </c>
      <c r="I8" s="13">
        <f>IF(A8="","",IFERROR(LOOKUP(2,1/((Curve!$G$2:$G$200=IF(IFERROR(INDEX(Market!$M:$M,MATCH(D8,Market!$A:$A,0))&amp;"","")="",IFERROR(VLOOKUP("reporting_ccy",Config!$A:$B,2,FALSE),""),INDEX(Market!$M:$M,MATCH(D8,Market!$A:$A,0))))*(Curve!$F$2:$F$200&lt;=H8)),Curve!$E$2:$E$200),IFERROR(INDEX(Curve!$E:$E,MATCH(IF(IFERROR(INDEX(Market!$M:$M,MATCH(D8,Market!$A:$A,0))&amp;"","")="",IFERROR(VLOOKUP("reporting_ccy",Config!$A:$B,2,FALSE),""),INDEX(Market!$M:$M,MATCH(D8,Market!$A:$A,0))),Curve!$G:$G,0)),Curve!$E$2)))</f>
        <v>3.6499999999999998E-2</v>
      </c>
      <c r="J8" s="13">
        <f>IF(A8="","",IF(C8="OPTION",IF(ISNUMBER(Trades!$R6),Trades!$R6,IF(RIGHT(Trades!$R6,1)="%",VALUE(SUBSTITUTE(Trades!$R6,"%",""))/100*E8,VALUE(Trades!$R6))),IF(UPPER(Trades!$M6)="AVERAGE",Trades!$N6,E8)))</f>
        <v>100</v>
      </c>
      <c r="K8" s="13">
        <f>IF(A8="","",IF(OR(UPPER(Trades!$F6)="BUY",UPPER(Trades!$F6)="RECEIVE_EQUITY"),1,-1))</f>
        <v>1</v>
      </c>
      <c r="L8" s="13">
        <f>IF(A8="","",Trades!$G6)</f>
        <v>100000</v>
      </c>
      <c r="M8" s="13">
        <f>IF(A8="","",(LN(E8/J8)+(I8-F8+G8^2/2)*H8)/(G8*SQRT(H8)))</f>
        <v>0.30658129727159594</v>
      </c>
      <c r="N8" s="14">
        <f>IF(A8="","",IF(C8="OPTION",K8*L8*IF(LEFT(UPPER(Trades!$Q6),1)="C",(E8*EXP(-F8*H8)*_xlfn.NORM.S.DIST(M8,TRUE)-J8*EXP(-I8*H8)*_xlfn.NORM.S.DIST(M8-G8*SQRT(H8),TRUE)),(J8*EXP(-I8*H8)*_xlfn.NORM.S.DIST(-(M8-G8*SQRT(H8)),TRUE)-E8*EXP(-F8*H8)*_xlfn.NORM.S.DIST(-M8,TRUE))),K8*L8*(E8-J8)+IF(UPPER(Trades!$M6)="AVERAGE",0,N(Trades!$O6))-K8*L8*J8*N(Trades!$L6)*H8*365/360*EXP(-I8*H8/2)))</f>
        <v>-97754.917853377294</v>
      </c>
      <c r="O8" s="14">
        <f>IF(A8="","",SUMIFS(LegMTM!$F:$F,LegMTM!$B:$B,A8,LegMTM!$C:$C,B8))</f>
        <v>0</v>
      </c>
      <c r="P8" s="14">
        <f>IF(A8="","",N8-O8)</f>
        <v>-97754.917853377294</v>
      </c>
      <c r="Q8" s="14">
        <f>IF(A8="","",IF($B$1&gt;=H8,0,IF(C8="OPTION",IF(K8&gt;0,N8*EXP(I8*$B$1),0),IF(OR(UPPER(Trades!$J6)="",UPPER(Trades!$J6)="NONE"),IF(K8&gt;0,L8*((E8*EXP((I8-F8)*$B$1))*_xlfn.NORM.S.DIST(((LN(E8/J8)-F8*$B$1+G8^2/2*$B$1)/(G8*SQRT($B$1))),TRUE)-(J8*EXP(I8*$B$1))*_xlfn.NORM.S.DIST(((LN(E8/J8)-F8*$B$1+G8^2/2*$B$1)/(G8*SQRT($B$1)))-G8*SQRT($B$1),TRUE)),L8*((J8*EXP(I8*$B$1))*_xlfn.NORM.S.DIST(-(((LN(E8/J8)-F8*$B$1+G8^2/2*$B$1)/(G8*SQRT($B$1)))-G8*SQRT($B$1)),TRUE)-(E8*EXP((I8-F8)*$B$1))*_xlfn.NORM.S.DIST(-((LN(E8/J8)-F8*$B$1+G8^2/2*$B$1)/(G8*SQRT($B$1))),TRUE))),"reset: see AnalyticCheck"))))</f>
        <v>762624.80072265293</v>
      </c>
    </row>
    <row r="9" spans="1:17" x14ac:dyDescent="0.35">
      <c r="A9" t="str">
        <f>IF(Trades!$A7="","",Trades!$A7)</f>
        <v>T005</v>
      </c>
      <c r="B9" t="str">
        <f>IF(A9="","",Trades!$C7)</f>
        <v>L2</v>
      </c>
      <c r="C9" t="str">
        <f>IF(A9="","",UPPER(Trades!$D7))</f>
        <v>OPTION</v>
      </c>
      <c r="D9" t="str">
        <f>IF(A9="","",Trades!$E7)</f>
        <v>STOCK_A</v>
      </c>
      <c r="E9" s="13">
        <f>IF(A9="","",INDEX(Market!$J:$J,MATCH(D9,Market!$A:$A,0)))</f>
        <v>100</v>
      </c>
      <c r="F9" s="13">
        <f>IF(A9="","",INDEX(Market!$K:$K,MATCH(D9,Market!$A:$A,0)))</f>
        <v>1.4999999999999999E-2</v>
      </c>
      <c r="G9" s="13">
        <f>IF(A9="","",IF(AND(C9="OPTION",Trades!$T7&lt;&gt;""),Trades!$T7,INDEX(Market!$L:$L,MATCH(D9,Market!$A:$A,0))))</f>
        <v>0.28000000000000003</v>
      </c>
      <c r="H9" s="13">
        <f>IF(A9="","",IF(ISNUMBER(IF(C9="OPTION",Trades!$S7,Trades!$I7)),(IF(C9="OPTION",Trades!$S7,Trades!$I7)-Config!$B$2)/365,VALUE(LEFT(IF(C9="OPTION",Trades!$S7,Trades!$I7),LEN(IF(C9="OPTION",Trades!$S7,Trades!$I7))-1))*CHOOSE(MATCH(RIGHT(IF(C9="OPTION",Trades!$S7,Trades!$I7),1),{"D","W","M","Y"},0),1/365,7/365,1/12,1)))</f>
        <v>1</v>
      </c>
      <c r="I9" s="13">
        <f>IF(A9="","",IFERROR(LOOKUP(2,1/((Curve!$G$2:$G$200=IF(IFERROR(INDEX(Market!$M:$M,MATCH(D9,Market!$A:$A,0))&amp;"","")="",IFERROR(VLOOKUP("reporting_ccy",Config!$A:$B,2,FALSE),""),INDEX(Market!$M:$M,MATCH(D9,Market!$A:$A,0))))*(Curve!$F$2:$F$200&lt;=H9)),Curve!$E$2:$E$200),IFERROR(INDEX(Curve!$E:$E,MATCH(IF(IFERROR(INDEX(Market!$M:$M,MATCH(D9,Market!$A:$A,0))&amp;"","")="",IFERROR(VLOOKUP("reporting_ccy",Config!$A:$B,2,FALSE),""),INDEX(Market!$M:$M,MATCH(D9,Market!$A:$A,0))),Curve!$G:$G,0)),Curve!$E$2)))</f>
        <v>3.7999999999999999E-2</v>
      </c>
      <c r="J9" s="13">
        <f>IF(A9="","",IF(C9="OPTION",IF(ISNUMBER(Trades!$R7),Trades!$R7,IF(RIGHT(Trades!$R7,1)="%",VALUE(SUBSTITUTE(Trades!$R7,"%",""))/100*E9,VALUE(Trades!$R7))),IF(UPPER(Trades!$M7)="AVERAGE",Trades!$N7,E9)))</f>
        <v>90</v>
      </c>
      <c r="K9" s="13">
        <f>IF(A9="","",IF(OR(UPPER(Trades!$F7)="BUY",UPPER(Trades!$F7)="RECEIVE_EQUITY"),1,-1))</f>
        <v>-1</v>
      </c>
      <c r="L9" s="13">
        <f>IF(A9="","",Trades!$G7)</f>
        <v>100000</v>
      </c>
      <c r="M9" s="13">
        <f>IF(A9="","",(LN(E9/J9)+(I9-F9+G9^2/2)*H9)/(G9*SQRT(H9)))</f>
        <v>0.59843041306366551</v>
      </c>
      <c r="N9" s="14">
        <f>IF(A9="","",IF(C9="OPTION",K9*L9*IF(LEFT(UPPER(Trades!$Q7),1)="C",(E9*EXP(-F9*H9)*_xlfn.NORM.S.DIST(M9,TRUE)-J9*EXP(-I9*H9)*_xlfn.NORM.S.DIST(M9-G9*SQRT(H9),TRUE)),(J9*EXP(-I9*H9)*_xlfn.NORM.S.DIST(-(M9-G9*SQRT(H9)),TRUE)-E9*EXP(-F9*H9)*_xlfn.NORM.S.DIST(-M9,TRUE))),K9*L9*(E9-J9)+IF(UPPER(Trades!$M7)="AVERAGE",0,N(Trades!$O7))-K9*L9*J9*N(Trades!$L7)*H9*365/360*EXP(-I9*H9/2)))</f>
        <v>-542987.69366336218</v>
      </c>
      <c r="O9" s="14">
        <f>IF(A9="","",SUMIFS(LegMTM!$F:$F,LegMTM!$B:$B,A9,LegMTM!$C:$C,B9))</f>
        <v>0</v>
      </c>
      <c r="P9" s="14">
        <f>IF(A9="","",N9-O9)</f>
        <v>-542987.69366336218</v>
      </c>
      <c r="Q9" s="14">
        <f>IF(A9="","",IF($B$1&gt;=H9,0,IF(C9="OPTION",IF(K9&gt;0,N9*EXP(I9*$B$1),0),IF(OR(UPPER(Trades!$J7)="",UPPER(Trades!$J7)="NONE"),IF(K9&gt;0,L9*((E9*EXP((I9-F9)*$B$1))*_xlfn.NORM.S.DIST(((LN(E9/J9)-F9*$B$1+G9^2/2*$B$1)/(G9*SQRT($B$1))),TRUE)-(J9*EXP(I9*$B$1))*_xlfn.NORM.S.DIST(((LN(E9/J9)-F9*$B$1+G9^2/2*$B$1)/(G9*SQRT($B$1)))-G9*SQRT($B$1),TRUE)),L9*((J9*EXP(I9*$B$1))*_xlfn.NORM.S.DIST(-(((LN(E9/J9)-F9*$B$1+G9^2/2*$B$1)/(G9*SQRT($B$1)))-G9*SQRT($B$1)),TRUE)-(E9*EXP((I9-F9)*$B$1))*_xlfn.NORM.S.DIST(-((LN(E9/J9)-F9*$B$1+G9^2/2*$B$1)/(G9*SQRT($B$1))),TRUE))),"reset: see AnalyticCheck"))))</f>
        <v>0</v>
      </c>
    </row>
    <row r="10" spans="1:17" x14ac:dyDescent="0.35">
      <c r="A10" t="str">
        <f>IF(Trades!$A8="","",Trades!$A8)</f>
        <v>T006</v>
      </c>
      <c r="B10" t="str">
        <f>IF(A10="","",Trades!$C8)</f>
        <v>L1</v>
      </c>
      <c r="C10" t="str">
        <f>IF(A10="","",UPPER(Trades!$D8))</f>
        <v>OPTION</v>
      </c>
      <c r="D10" t="str">
        <f>IF(A10="","",Trades!$E8)</f>
        <v>STOCK_A</v>
      </c>
      <c r="E10" s="13">
        <f>IF(A10="","",INDEX(Market!$J:$J,MATCH(D10,Market!$A:$A,0)))</f>
        <v>100</v>
      </c>
      <c r="F10" s="13">
        <f>IF(A10="","",INDEX(Market!$K:$K,MATCH(D10,Market!$A:$A,0)))</f>
        <v>1.4999999999999999E-2</v>
      </c>
      <c r="G10" s="13">
        <f>IF(A10="","",IF(AND(C10="OPTION",Trades!$T8&lt;&gt;""),Trades!$T8,INDEX(Market!$L:$L,MATCH(D10,Market!$A:$A,0))))</f>
        <v>0.28000000000000003</v>
      </c>
      <c r="H10" s="13">
        <f>IF(A10="","",IF(ISNUMBER(IF(C10="OPTION",Trades!$S8,Trades!$I8)),(IF(C10="OPTION",Trades!$S8,Trades!$I8)-Config!$B$2)/365,VALUE(LEFT(IF(C10="OPTION",Trades!$S8,Trades!$I8),LEN(IF(C10="OPTION",Trades!$S8,Trades!$I8))-1))*CHOOSE(MATCH(RIGHT(IF(C10="OPTION",Trades!$S8,Trades!$I8),1),{"D","W","M","Y"},0),1/365,7/365,1/12,1)))</f>
        <v>1</v>
      </c>
      <c r="I10" s="13">
        <f>IF(A10="","",IFERROR(LOOKUP(2,1/((Curve!$G$2:$G$200=IF(IFERROR(INDEX(Market!$M:$M,MATCH(D10,Market!$A:$A,0))&amp;"","")="",IFERROR(VLOOKUP("reporting_ccy",Config!$A:$B,2,FALSE),""),INDEX(Market!$M:$M,MATCH(D10,Market!$A:$A,0))))*(Curve!$F$2:$F$200&lt;=H10)),Curve!$E$2:$E$200),IFERROR(INDEX(Curve!$E:$E,MATCH(IF(IFERROR(INDEX(Market!$M:$M,MATCH(D10,Market!$A:$A,0))&amp;"","")="",IFERROR(VLOOKUP("reporting_ccy",Config!$A:$B,2,FALSE),""),INDEX(Market!$M:$M,MATCH(D10,Market!$A:$A,0))),Curve!$G:$G,0)),Curve!$E$2)))</f>
        <v>3.7999999999999999E-2</v>
      </c>
      <c r="J10" s="13">
        <f>IF(A10="","",IF(C10="OPTION",IF(ISNUMBER(Trades!$R8),Trades!$R8,IF(RIGHT(Trades!$R8,1)="%",VALUE(SUBSTITUTE(Trades!$R8,"%",""))/100*E10,VALUE(Trades!$R8))),IF(UPPER(Trades!$M8)="AVERAGE",Trades!$N8,E10)))</f>
        <v>90</v>
      </c>
      <c r="K10" s="13">
        <f>IF(A10="","",IF(OR(UPPER(Trades!$F8)="BUY",UPPER(Trades!$F8)="RECEIVE_EQUITY"),1,-1))</f>
        <v>1</v>
      </c>
      <c r="L10" s="13">
        <f>IF(A10="","",Trades!$G8)</f>
        <v>100000</v>
      </c>
      <c r="M10" s="13">
        <f>IF(A10="","",(LN(E10/J10)+(I10-F10+G10^2/2)*H10)/(G10*SQRT(H10)))</f>
        <v>0.59843041306366551</v>
      </c>
      <c r="N10" s="14">
        <f>IF(A10="","",IF(C10="OPTION",K10*L10*IF(LEFT(UPPER(Trades!$Q8),1)="C",(E10*EXP(-F10*H10)*_xlfn.NORM.S.DIST(M10,TRUE)-J10*EXP(-I10*H10)*_xlfn.NORM.S.DIST(M10-G10*SQRT(H10),TRUE)),(J10*EXP(-I10*H10)*_xlfn.NORM.S.DIST(-(M10-G10*SQRT(H10)),TRUE)-E10*EXP(-F10*H10)*_xlfn.NORM.S.DIST(-M10,TRUE))),K10*L10*(E10-J10)+IF(UPPER(Trades!$M8)="AVERAGE",0,N(Trades!$O8))-K10*L10*J10*N(Trades!$L8)*H10*365/360*EXP(-I10*H10/2)))</f>
        <v>542987.69366336218</v>
      </c>
      <c r="O10" s="14">
        <f>IF(A10="","",SUMIFS(LegMTM!$F:$F,LegMTM!$B:$B,A10,LegMTM!$C:$C,B10))</f>
        <v>0</v>
      </c>
      <c r="P10" s="14">
        <f>IF(A10="","",N10-O10)</f>
        <v>542987.69366336218</v>
      </c>
      <c r="Q10" s="14">
        <f>IF(A10="","",IF($B$1&gt;=H10,0,IF(C10="OPTION",IF(K10&gt;0,N10*EXP(I10*$B$1),0),IF(OR(UPPER(Trades!$J8)="",UPPER(Trades!$J8)="NONE"),IF(K10&gt;0,L10*((E10*EXP((I10-F10)*$B$1))*_xlfn.NORM.S.DIST(((LN(E10/J10)-F10*$B$1+G10^2/2*$B$1)/(G10*SQRT($B$1))),TRUE)-(J10*EXP(I10*$B$1))*_xlfn.NORM.S.DIST(((LN(E10/J10)-F10*$B$1+G10^2/2*$B$1)/(G10*SQRT($B$1)))-G10*SQRT($B$1),TRUE)),L10*((J10*EXP(I10*$B$1))*_xlfn.NORM.S.DIST(-(((LN(E10/J10)-F10*$B$1+G10^2/2*$B$1)/(G10*SQRT($B$1)))-G10*SQRT($B$1)),TRUE)-(E10*EXP((I10-F10)*$B$1))*_xlfn.NORM.S.DIST(-((LN(E10/J10)-F10*$B$1+G10^2/2*$B$1)/(G10*SQRT($B$1))),TRUE))),"reset: see AnalyticCheck"))))</f>
        <v>553403.09280678967</v>
      </c>
    </row>
    <row r="11" spans="1:17" x14ac:dyDescent="0.35">
      <c r="A11" t="str">
        <f>IF(Trades!$A9="","",Trades!$A9)</f>
        <v>T006</v>
      </c>
      <c r="B11" t="str">
        <f>IF(A11="","",Trades!$C9)</f>
        <v>L2</v>
      </c>
      <c r="C11" t="str">
        <f>IF(A11="","",UPPER(Trades!$D9))</f>
        <v>OPTION</v>
      </c>
      <c r="D11" t="str">
        <f>IF(A11="","",Trades!$E9)</f>
        <v>STOCK_A</v>
      </c>
      <c r="E11" s="13">
        <f>IF(A11="","",INDEX(Market!$J:$J,MATCH(D11,Market!$A:$A,0)))</f>
        <v>100</v>
      </c>
      <c r="F11" s="13">
        <f>IF(A11="","",INDEX(Market!$K:$K,MATCH(D11,Market!$A:$A,0)))</f>
        <v>1.4999999999999999E-2</v>
      </c>
      <c r="G11" s="13">
        <f>IF(A11="","",IF(AND(C11="OPTION",Trades!$T9&lt;&gt;""),Trades!$T9,INDEX(Market!$L:$L,MATCH(D11,Market!$A:$A,0))))</f>
        <v>0.28000000000000003</v>
      </c>
      <c r="H11" s="13">
        <f>IF(A11="","",IF(ISNUMBER(IF(C11="OPTION",Trades!$S9,Trades!$I9)),(IF(C11="OPTION",Trades!$S9,Trades!$I9)-Config!$B$2)/365,VALUE(LEFT(IF(C11="OPTION",Trades!$S9,Trades!$I9),LEN(IF(C11="OPTION",Trades!$S9,Trades!$I9))-1))*CHOOSE(MATCH(RIGHT(IF(C11="OPTION",Trades!$S9,Trades!$I9),1),{"D","W","M","Y"},0),1/365,7/365,1/12,1)))</f>
        <v>1</v>
      </c>
      <c r="I11" s="13">
        <f>IF(A11="","",IFERROR(LOOKUP(2,1/((Curve!$G$2:$G$200=IF(IFERROR(INDEX(Market!$M:$M,MATCH(D11,Market!$A:$A,0))&amp;"","")="",IFERROR(VLOOKUP("reporting_ccy",Config!$A:$B,2,FALSE),""),INDEX(Market!$M:$M,MATCH(D11,Market!$A:$A,0))))*(Curve!$F$2:$F$200&lt;=H11)),Curve!$E$2:$E$200),IFERROR(INDEX(Curve!$E:$E,MATCH(IF(IFERROR(INDEX(Market!$M:$M,MATCH(D11,Market!$A:$A,0))&amp;"","")="",IFERROR(VLOOKUP("reporting_ccy",Config!$A:$B,2,FALSE),""),INDEX(Market!$M:$M,MATCH(D11,Market!$A:$A,0))),Curve!$G:$G,0)),Curve!$E$2)))</f>
        <v>3.7999999999999999E-2</v>
      </c>
      <c r="J11" s="13">
        <f>IF(A11="","",IF(C11="OPTION",IF(ISNUMBER(Trades!$R9),Trades!$R9,IF(RIGHT(Trades!$R9,1)="%",VALUE(SUBSTITUTE(Trades!$R9,"%",""))/100*E11,VALUE(Trades!$R9))),IF(UPPER(Trades!$M9)="AVERAGE",Trades!$N9,E11)))</f>
        <v>114.99999999999999</v>
      </c>
      <c r="K11" s="13">
        <f>IF(A11="","",IF(OR(UPPER(Trades!$F9)="BUY",UPPER(Trades!$F9)="RECEIVE_EQUITY"),1,-1))</f>
        <v>-1</v>
      </c>
      <c r="L11" s="13">
        <f>IF(A11="","",Trades!$G9)</f>
        <v>100000</v>
      </c>
      <c r="M11" s="13">
        <f>IF(A11="","",(LN(E11/J11)+(I11-F11+G11^2/2)*H11)/(G11*SQRT(H11)))</f>
        <v>-0.27700693705413781</v>
      </c>
      <c r="N11" s="14">
        <f>IF(A11="","",IF(C11="OPTION",K11*L11*IF(LEFT(UPPER(Trades!$Q9),1)="C",(E11*EXP(-F11*H11)*_xlfn.NORM.S.DIST(M11,TRUE)-J11*EXP(-I11*H11)*_xlfn.NORM.S.DIST(M11-G11*SQRT(H11),TRUE)),(J11*EXP(-I11*H11)*_xlfn.NORM.S.DIST(-(M11-G11*SQRT(H11)),TRUE)-E11*EXP(-F11*H11)*_xlfn.NORM.S.DIST(-M11,TRUE))),K11*L11*(E11-J11)+IF(UPPER(Trades!$M9)="AVERAGE",0,N(Trades!$O9))-K11*L11*J11*N(Trades!$L9)*H11*365/360*EXP(-I11*H11/2)))</f>
        <v>-653744.08720831631</v>
      </c>
      <c r="O11" s="14">
        <f>IF(A11="","",SUMIFS(LegMTM!$F:$F,LegMTM!$B:$B,A11,LegMTM!$C:$C,B11))</f>
        <v>0</v>
      </c>
      <c r="P11" s="14">
        <f>IF(A11="","",N11-O11)</f>
        <v>-653744.08720831631</v>
      </c>
      <c r="Q11" s="14">
        <f>IF(A11="","",IF($B$1&gt;=H11,0,IF(C11="OPTION",IF(K11&gt;0,N11*EXP(I11*$B$1),0),IF(OR(UPPER(Trades!$J9)="",UPPER(Trades!$J9)="NONE"),IF(K11&gt;0,L11*((E11*EXP((I11-F11)*$B$1))*_xlfn.NORM.S.DIST(((LN(E11/J11)-F11*$B$1+G11^2/2*$B$1)/(G11*SQRT($B$1))),TRUE)-(J11*EXP(I11*$B$1))*_xlfn.NORM.S.DIST(((LN(E11/J11)-F11*$B$1+G11^2/2*$B$1)/(G11*SQRT($B$1)))-G11*SQRT($B$1),TRUE)),L11*((J11*EXP(I11*$B$1))*_xlfn.NORM.S.DIST(-(((LN(E11/J11)-F11*$B$1+G11^2/2*$B$1)/(G11*SQRT($B$1)))-G11*SQRT($B$1)),TRUE)-(E11*EXP((I11-F11)*$B$1))*_xlfn.NORM.S.DIST(-((LN(E11/J11)-F11*$B$1+G11^2/2*$B$1)/(G11*SQRT($B$1))),TRUE))),"reset: see AnalyticCheck"))))</f>
        <v>0</v>
      </c>
    </row>
    <row r="12" spans="1:17" x14ac:dyDescent="0.35">
      <c r="A12" t="str">
        <f>IF(Trades!$A10="","",Trades!$A10)</f>
        <v>T007</v>
      </c>
      <c r="B12" t="str">
        <f>IF(A12="","",Trades!$C10)</f>
        <v>L1</v>
      </c>
      <c r="C12" t="str">
        <f>IF(A12="","",UPPER(Trades!$D10))</f>
        <v>OPTION</v>
      </c>
      <c r="D12" t="str">
        <f>IF(A12="","",Trades!$E10)</f>
        <v>INDEX_X</v>
      </c>
      <c r="E12" s="13">
        <f>IF(A12="","",INDEX(Market!$J:$J,MATCH(D12,Market!$A:$A,0)))</f>
        <v>5000</v>
      </c>
      <c r="F12" s="13">
        <f>IF(A12="","",INDEX(Market!$K:$K,MATCH(D12,Market!$A:$A,0)))</f>
        <v>1.7999999999999999E-2</v>
      </c>
      <c r="G12" s="13">
        <f>IF(A12="","",IF(AND(C12="OPTION",Trades!$T10&lt;&gt;""),Trades!$T10,INDEX(Market!$L:$L,MATCH(D12,Market!$A:$A,0))))</f>
        <v>0.18</v>
      </c>
      <c r="H12" s="13">
        <f>IF(A12="","",IF(ISNUMBER(IF(C12="OPTION",Trades!$S10,Trades!$I10)),(IF(C12="OPTION",Trades!$S10,Trades!$I10)-Config!$B$2)/365,VALUE(LEFT(IF(C12="OPTION",Trades!$S10,Trades!$I10),LEN(IF(C12="OPTION",Trades!$S10,Trades!$I10))-1))*CHOOSE(MATCH(RIGHT(IF(C12="OPTION",Trades!$S10,Trades!$I10),1),{"D","W","M","Y"},0),1/365,7/365,1/12,1)))</f>
        <v>0.5</v>
      </c>
      <c r="I12" s="13">
        <f>IF(A12="","",IFERROR(LOOKUP(2,1/((Curve!$G$2:$G$200=IF(IFERROR(INDEX(Market!$M:$M,MATCH(D12,Market!$A:$A,0))&amp;"","")="",IFERROR(VLOOKUP("reporting_ccy",Config!$A:$B,2,FALSE),""),INDEX(Market!$M:$M,MATCH(D12,Market!$A:$A,0))))*(Curve!$F$2:$F$200&lt;=H12)),Curve!$E$2:$E$200),IFERROR(INDEX(Curve!$E:$E,MATCH(IF(IFERROR(INDEX(Market!$M:$M,MATCH(D12,Market!$A:$A,0))&amp;"","")="",IFERROR(VLOOKUP("reporting_ccy",Config!$A:$B,2,FALSE),""),INDEX(Market!$M:$M,MATCH(D12,Market!$A:$A,0))),Curve!$G:$G,0)),Curve!$E$2)))</f>
        <v>3.95E-2</v>
      </c>
      <c r="J12" s="13">
        <f>IF(A12="","",IF(C12="OPTION",IF(ISNUMBER(Trades!$R10),Trades!$R10,IF(RIGHT(Trades!$R10,1)="%",VALUE(SUBSTITUTE(Trades!$R10,"%",""))/100*E12,VALUE(Trades!$R10))),IF(UPPER(Trades!$M10)="AVERAGE",Trades!$N10,E12)))</f>
        <v>4750</v>
      </c>
      <c r="K12" s="13">
        <f>IF(A12="","",IF(OR(UPPER(Trades!$F10)="BUY",UPPER(Trades!$F10)="RECEIVE_EQUITY"),1,-1))</f>
        <v>-1</v>
      </c>
      <c r="L12" s="13">
        <f>IF(A12="","",Trades!$G10)</f>
        <v>2000</v>
      </c>
      <c r="M12" s="13">
        <f>IF(A12="","",(LN(E12/J12)+(I12-F12+G12^2/2)*H12)/(G12*SQRT(H12)))</f>
        <v>0.55109776795779164</v>
      </c>
      <c r="N12" s="14">
        <f>IF(A12="","",IF(C12="OPTION",K12*L12*IF(LEFT(UPPER(Trades!$Q10),1)="C",(E12*EXP(-F12*H12)*_xlfn.NORM.S.DIST(M12,TRUE)-J12*EXP(-I12*H12)*_xlfn.NORM.S.DIST(M12-G12*SQRT(H12),TRUE)),(J12*EXP(-I12*H12)*_xlfn.NORM.S.DIST(-(M12-G12*SQRT(H12)),TRUE)-E12*EXP(-F12*H12)*_xlfn.NORM.S.DIST(-M12,TRUE))),K12*L12*(E12-J12)+IF(UPPER(Trades!$M10)="AVERAGE",0,N(Trades!$O10))-K12*L12*J12*N(Trades!$L10)*H12*365/360*EXP(-I12*H12/2)))</f>
        <v>-246390.52379041776</v>
      </c>
      <c r="O12" s="14">
        <f>IF(A12="","",SUMIFS(LegMTM!$F:$F,LegMTM!$B:$B,A12,LegMTM!$C:$C,B12))</f>
        <v>0</v>
      </c>
      <c r="P12" s="14">
        <f>IF(A12="","",N12-O12)</f>
        <v>-246390.52379041776</v>
      </c>
      <c r="Q12" s="14">
        <f>IF(A12="","",IF($B$1&gt;=H12,0,IF(C12="OPTION",IF(K12&gt;0,N12*EXP(I12*$B$1),0),IF(OR(UPPER(Trades!$J10)="",UPPER(Trades!$J10)="NONE"),IF(K12&gt;0,L12*((E12*EXP((I12-F12)*$B$1))*_xlfn.NORM.S.DIST(((LN(E12/J12)-F12*$B$1+G12^2/2*$B$1)/(G12*SQRT($B$1))),TRUE)-(J12*EXP(I12*$B$1))*_xlfn.NORM.S.DIST(((LN(E12/J12)-F12*$B$1+G12^2/2*$B$1)/(G12*SQRT($B$1)))-G12*SQRT($B$1),TRUE)),L12*((J12*EXP(I12*$B$1))*_xlfn.NORM.S.DIST(-(((LN(E12/J12)-F12*$B$1+G12^2/2*$B$1)/(G12*SQRT($B$1)))-G12*SQRT($B$1)),TRUE)-(E12*EXP((I12-F12)*$B$1))*_xlfn.NORM.S.DIST(-((LN(E12/J12)-F12*$B$1+G12^2/2*$B$1)/(G12*SQRT($B$1))),TRUE))),"reset: see AnalyticCheck"))))</f>
        <v>0</v>
      </c>
    </row>
    <row r="13" spans="1:17" x14ac:dyDescent="0.35">
      <c r="A13" t="str">
        <f>IF(Trades!$A11="","",Trades!$A11)</f>
        <v>T008</v>
      </c>
      <c r="B13" t="str">
        <f>IF(A13="","",Trades!$C11)</f>
        <v>L1</v>
      </c>
      <c r="C13" t="str">
        <f>IF(A13="","",UPPER(Trades!$D11))</f>
        <v>OPTION</v>
      </c>
      <c r="D13" t="str">
        <f>IF(A13="","",Trades!$E11)</f>
        <v>INDEX_X</v>
      </c>
      <c r="E13" s="13">
        <f>IF(A13="","",INDEX(Market!$J:$J,MATCH(D13,Market!$A:$A,0)))</f>
        <v>5000</v>
      </c>
      <c r="F13" s="13">
        <f>IF(A13="","",INDEX(Market!$K:$K,MATCH(D13,Market!$A:$A,0)))</f>
        <v>1.7999999999999999E-2</v>
      </c>
      <c r="G13" s="13">
        <f>IF(A13="","",IF(AND(C13="OPTION",Trades!$T11&lt;&gt;""),Trades!$T11,INDEX(Market!$L:$L,MATCH(D13,Market!$A:$A,0))))</f>
        <v>0.18</v>
      </c>
      <c r="H13" s="13">
        <f>IF(A13="","",IF(ISNUMBER(IF(C13="OPTION",Trades!$S11,Trades!$I11)),(IF(C13="OPTION",Trades!$S11,Trades!$I11)-Config!$B$2)/365,VALUE(LEFT(IF(C13="OPTION",Trades!$S11,Trades!$I11),LEN(IF(C13="OPTION",Trades!$S11,Trades!$I11))-1))*CHOOSE(MATCH(RIGHT(IF(C13="OPTION",Trades!$S11,Trades!$I11),1),{"D","W","M","Y"},0),1/365,7/365,1/12,1)))</f>
        <v>2</v>
      </c>
      <c r="I13" s="13">
        <f>IF(A13="","",IFERROR(LOOKUP(2,1/((Curve!$G$2:$G$200=IF(IFERROR(INDEX(Market!$M:$M,MATCH(D13,Market!$A:$A,0))&amp;"","")="",IFERROR(VLOOKUP("reporting_ccy",Config!$A:$B,2,FALSE),""),INDEX(Market!$M:$M,MATCH(D13,Market!$A:$A,0))))*(Curve!$F$2:$F$200&lt;=H13)),Curve!$E$2:$E$200),IFERROR(INDEX(Curve!$E:$E,MATCH(IF(IFERROR(INDEX(Market!$M:$M,MATCH(D13,Market!$A:$A,0))&amp;"","")="",IFERROR(VLOOKUP("reporting_ccy",Config!$A:$B,2,FALSE),""),INDEX(Market!$M:$M,MATCH(D13,Market!$A:$A,0))),Curve!$G:$G,0)),Curve!$E$2)))</f>
        <v>3.6499999999999998E-2</v>
      </c>
      <c r="J13" s="13">
        <f>IF(A13="","",IF(C13="OPTION",IF(ISNUMBER(Trades!$R11),Trades!$R11,IF(RIGHT(Trades!$R11,1)="%",VALUE(SUBSTITUTE(Trades!$R11,"%",""))/100*E13,VALUE(Trades!$R11))),IF(UPPER(Trades!$M11)="AVERAGE",Trades!$N11,E13)))</f>
        <v>5200</v>
      </c>
      <c r="K13" s="13">
        <f>IF(A13="","",IF(OR(UPPER(Trades!$F11)="BUY",UPPER(Trades!$F11)="RECEIVE_EQUITY"),1,-1))</f>
        <v>1</v>
      </c>
      <c r="L13" s="13">
        <f>IF(A13="","",Trades!$G11)</f>
        <v>2000</v>
      </c>
      <c r="M13" s="13">
        <f>IF(A13="","",(LN(E13/J13)+(I13-F13+G13^2/2)*H13)/(G13*SQRT(H13)))</f>
        <v>0.11855543544827105</v>
      </c>
      <c r="N13" s="14">
        <f>IF(A13="","",IF(C13="OPTION",K13*L13*IF(LEFT(UPPER(Trades!$Q11),1)="C",(E13*EXP(-F13*H13)*_xlfn.NORM.S.DIST(M13,TRUE)-J13*EXP(-I13*H13)*_xlfn.NORM.S.DIST(M13-G13*SQRT(H13),TRUE)),(J13*EXP(-I13*H13)*_xlfn.NORM.S.DIST(-(M13-G13*SQRT(H13)),TRUE)-E13*EXP(-F13*H13)*_xlfn.NORM.S.DIST(-M13,TRUE))),K13*L13*(E13-J13)+IF(UPPER(Trades!$M11)="AVERAGE",0,N(Trades!$O11))-K13*L13*J13*N(Trades!$L11)*H13*365/360*EXP(-I13*H13/2)))</f>
        <v>967393.60343776387</v>
      </c>
      <c r="O13" s="14">
        <f>IF(A13="","",SUMIFS(LegMTM!$F:$F,LegMTM!$B:$B,A13,LegMTM!$C:$C,B13))</f>
        <v>0</v>
      </c>
      <c r="P13" s="14">
        <f>IF(A13="","",N13-O13)</f>
        <v>967393.60343776387</v>
      </c>
      <c r="Q13" s="14">
        <f>IF(A13="","",IF($B$1&gt;=H13,0,IF(C13="OPTION",IF(K13&gt;0,N13*EXP(I13*$B$1),0),IF(OR(UPPER(Trades!$J11)="",UPPER(Trades!$J11)="NONE"),IF(K13&gt;0,L13*((E13*EXP((I13-F13)*$B$1))*_xlfn.NORM.S.DIST(((LN(E13/J13)-F13*$B$1+G13^2/2*$B$1)/(G13*SQRT($B$1))),TRUE)-(J13*EXP(I13*$B$1))*_xlfn.NORM.S.DIST(((LN(E13/J13)-F13*$B$1+G13^2/2*$B$1)/(G13*SQRT($B$1)))-G13*SQRT($B$1),TRUE)),L13*((J13*EXP(I13*$B$1))*_xlfn.NORM.S.DIST(-(((LN(E13/J13)-F13*$B$1+G13^2/2*$B$1)/(G13*SQRT($B$1)))-G13*SQRT($B$1)),TRUE)-(E13*EXP((I13-F13)*$B$1))*_xlfn.NORM.S.DIST(-((LN(E13/J13)-F13*$B$1+G13^2/2*$B$1)/(G13*SQRT($B$1))),TRUE))),"reset: see AnalyticCheck"))))</f>
        <v>985210.6224869967</v>
      </c>
    </row>
    <row r="14" spans="1:17" x14ac:dyDescent="0.35">
      <c r="A14" t="str">
        <f>IF(Trades!$A12="","",Trades!$A12)</f>
        <v>T009</v>
      </c>
      <c r="B14" t="str">
        <f>IF(A14="","",Trades!$C12)</f>
        <v>L1</v>
      </c>
      <c r="C14" t="str">
        <f>IF(A14="","",UPPER(Trades!$D12))</f>
        <v>TRS</v>
      </c>
      <c r="D14" t="str">
        <f>IF(A14="","",Trades!$E12)</f>
        <v>INDEX_X</v>
      </c>
      <c r="E14" s="13">
        <f>IF(A14="","",INDEX(Market!$J:$J,MATCH(D14,Market!$A:$A,0)))</f>
        <v>5000</v>
      </c>
      <c r="F14" s="13">
        <f>IF(A14="","",INDEX(Market!$K:$K,MATCH(D14,Market!$A:$A,0)))</f>
        <v>1.7999999999999999E-2</v>
      </c>
      <c r="G14" s="13">
        <f>IF(A14="","",IF(AND(C14="OPTION",Trades!$T12&lt;&gt;""),Trades!$T12,INDEX(Market!$L:$L,MATCH(D14,Market!$A:$A,0))))</f>
        <v>0.18</v>
      </c>
      <c r="H14" s="13">
        <f>IF(A14="","",IF(ISNUMBER(IF(C14="OPTION",Trades!$S12,Trades!$I12)),(IF(C14="OPTION",Trades!$S12,Trades!$I12)-Config!$B$2)/365,VALUE(LEFT(IF(C14="OPTION",Trades!$S12,Trades!$I12),LEN(IF(C14="OPTION",Trades!$S12,Trades!$I12))-1))*CHOOSE(MATCH(RIGHT(IF(C14="OPTION",Trades!$S12,Trades!$I12),1),{"D","W","M","Y"},0),1/365,7/365,1/12,1)))</f>
        <v>5</v>
      </c>
      <c r="I14" s="13">
        <f>IF(A14="","",IFERROR(LOOKUP(2,1/((Curve!$G$2:$G$200=IF(IFERROR(INDEX(Market!$M:$M,MATCH(D14,Market!$A:$A,0))&amp;"","")="",IFERROR(VLOOKUP("reporting_ccy",Config!$A:$B,2,FALSE),""),INDEX(Market!$M:$M,MATCH(D14,Market!$A:$A,0))))*(Curve!$F$2:$F$200&lt;=H14)),Curve!$E$2:$E$200),IFERROR(INDEX(Curve!$E:$E,MATCH(IF(IFERROR(INDEX(Market!$M:$M,MATCH(D14,Market!$A:$A,0))&amp;"","")="",IFERROR(VLOOKUP("reporting_ccy",Config!$A:$B,2,FALSE),""),INDEX(Market!$M:$M,MATCH(D14,Market!$A:$A,0))),Curve!$G:$G,0)),Curve!$E$2)))</f>
        <v>3.6200000000000003E-2</v>
      </c>
      <c r="J14" s="13">
        <f>IF(A14="","",IF(C14="OPTION",IF(ISNUMBER(Trades!$R12),Trades!$R12,IF(RIGHT(Trades!$R12,1)="%",VALUE(SUBSTITUTE(Trades!$R12,"%",""))/100*E14,VALUE(Trades!$R12))),IF(UPPER(Trades!$M12)="AVERAGE",Trades!$N12,E14)))</f>
        <v>5000</v>
      </c>
      <c r="K14" s="13">
        <f>IF(A14="","",IF(OR(UPPER(Trades!$F12)="BUY",UPPER(Trades!$F12)="RECEIVE_EQUITY"),1,-1))</f>
        <v>1</v>
      </c>
      <c r="L14" s="13">
        <f>IF(A14="","",Trades!$G12)</f>
        <v>1000</v>
      </c>
      <c r="M14" s="13">
        <f>IF(A14="","",(LN(E14/J14)+(I14-F14+G14^2/2)*H14)/(G14*SQRT(H14)))</f>
        <v>0.4273374356999598</v>
      </c>
      <c r="N14" s="14">
        <f>IF(A14="","",IF(C14="OPTION",K14*L14*IF(LEFT(UPPER(Trades!$Q12),1)="C",(E14*EXP(-F14*H14)*_xlfn.NORM.S.DIST(M14,TRUE)-J14*EXP(-I14*H14)*_xlfn.NORM.S.DIST(M14-G14*SQRT(H14),TRUE)),(J14*EXP(-I14*H14)*_xlfn.NORM.S.DIST(-(M14-G14*SQRT(H14)),TRUE)-E14*EXP(-F14*H14)*_xlfn.NORM.S.DIST(-M14,TRUE))),K14*L14*(E14-J14)+IF(UPPER(Trades!$M12)="AVERAGE",0,N(Trades!$O12))-K14*L14*J14*N(Trades!$L12)*H14*365/360*EXP(-I14*H14/2)))</f>
        <v>-69462.110807051635</v>
      </c>
      <c r="O14" s="14">
        <f>IF(A14="","",SUMIFS(LegMTM!$F:$F,LegMTM!$B:$B,A14,LegMTM!$C:$C,B14))</f>
        <v>0</v>
      </c>
      <c r="P14" s="14">
        <f>IF(A14="","",N14-O14)</f>
        <v>-69462.110807051635</v>
      </c>
      <c r="Q14" s="14" t="str">
        <f>IF(A14="","",IF($B$1&gt;=H14,0,IF(C14="OPTION",IF(K14&gt;0,N14*EXP(I14*$B$1),0),IF(OR(UPPER(Trades!$J12)="",UPPER(Trades!$J12)="NONE"),IF(K14&gt;0,L14*((E14*EXP((I14-F14)*$B$1))*_xlfn.NORM.S.DIST(((LN(E14/J14)-F14*$B$1+G14^2/2*$B$1)/(G14*SQRT($B$1))),TRUE)-(J14*EXP(I14*$B$1))*_xlfn.NORM.S.DIST(((LN(E14/J14)-F14*$B$1+G14^2/2*$B$1)/(G14*SQRT($B$1)))-G14*SQRT($B$1),TRUE)),L14*((J14*EXP(I14*$B$1))*_xlfn.NORM.S.DIST(-(((LN(E14/J14)-F14*$B$1+G14^2/2*$B$1)/(G14*SQRT($B$1)))-G14*SQRT($B$1)),TRUE)-(E14*EXP((I14-F14)*$B$1))*_xlfn.NORM.S.DIST(-((LN(E14/J14)-F14*$B$1+G14^2/2*$B$1)/(G14*SQRT($B$1))),TRUE))),"reset: see AnalyticCheck"))))</f>
        <v>reset: see AnalyticCheck</v>
      </c>
    </row>
    <row r="15" spans="1:17" x14ac:dyDescent="0.35">
      <c r="A15" t="str">
        <f>IF(Trades!$A13="","",Trades!$A13)</f>
        <v>T010</v>
      </c>
      <c r="B15" t="str">
        <f>IF(A15="","",Trades!$C13)</f>
        <v>L1</v>
      </c>
      <c r="C15" t="str">
        <f>IF(A15="","",UPPER(Trades!$D13))</f>
        <v>OPTION</v>
      </c>
      <c r="D15" t="str">
        <f>IF(A15="","",Trades!$E13)</f>
        <v>STOCK_CA</v>
      </c>
      <c r="E15" s="13">
        <f>IF(A15="","",INDEX(Market!$J:$J,MATCH(D15,Market!$A:$A,0)))</f>
        <v>67.44</v>
      </c>
      <c r="F15" s="13">
        <f>IF(A15="","",INDEX(Market!$K:$K,MATCH(D15,Market!$A:$A,0)))</f>
        <v>2.9700000000000001E-2</v>
      </c>
      <c r="G15" s="13">
        <f>IF(A15="","",IF(AND(C15="OPTION",Trades!$T13&lt;&gt;""),Trades!$T13,INDEX(Market!$L:$L,MATCH(D15,Market!$A:$A,0))))</f>
        <v>0.2576</v>
      </c>
      <c r="H15" s="13">
        <f>IF(A15="","",IF(ISNUMBER(IF(C15="OPTION",Trades!$S13,Trades!$I13)),(IF(C15="OPTION",Trades!$S13,Trades!$I13)-Config!$B$2)/365,VALUE(LEFT(IF(C15="OPTION",Trades!$S13,Trades!$I13),LEN(IF(C15="OPTION",Trades!$S13,Trades!$I13))-1))*CHOOSE(MATCH(RIGHT(IF(C15="OPTION",Trades!$S13,Trades!$I13),1),{"D","W","M","Y"},0),1/365,7/365,1/12,1)))</f>
        <v>0.38630136986301372</v>
      </c>
      <c r="I15" s="13">
        <f>IF(A15="","",IFERROR(LOOKUP(2,1/((Curve!$G$2:$G$200=IF(IFERROR(INDEX(Market!$M:$M,MATCH(D15,Market!$A:$A,0))&amp;"","")="",IFERROR(VLOOKUP("reporting_ccy",Config!$A:$B,2,FALSE),""),INDEX(Market!$M:$M,MATCH(D15,Market!$A:$A,0))))*(Curve!$F$2:$F$200&lt;=H15)),Curve!$E$2:$E$200),IFERROR(INDEX(Curve!$E:$E,MATCH(IF(IFERROR(INDEX(Market!$M:$M,MATCH(D15,Market!$A:$A,0))&amp;"","")="",IFERROR(VLOOKUP("reporting_ccy",Config!$A:$B,2,FALSE),""),INDEX(Market!$M:$M,MATCH(D15,Market!$A:$A,0))),Curve!$G:$G,0)),Curve!$E$2)))</f>
        <v>2.2499999999999999E-2</v>
      </c>
      <c r="J15" s="13">
        <f>IF(A15="","",IF(C15="OPTION",IF(ISNUMBER(Trades!$R13),Trades!$R13,IF(RIGHT(Trades!$R13,1)="%",VALUE(SUBSTITUTE(Trades!$R13,"%",""))/100*E15,VALUE(Trades!$R13))),IF(UPPER(Trades!$M13)="AVERAGE",Trades!$N13,E15)))</f>
        <v>75</v>
      </c>
      <c r="K15" s="13">
        <f>IF(A15="","",IF(OR(UPPER(Trades!$F13)="BUY",UPPER(Trades!$F13)="RECEIVE_EQUITY"),1,-1))</f>
        <v>1</v>
      </c>
      <c r="L15" s="13">
        <f>IF(A15="","",Trades!$G13)</f>
        <v>1000000</v>
      </c>
      <c r="M15" s="13">
        <f>IF(A15="","",(LN(E15/J15)+(I15-F15+G15^2/2)*H15)/(G15*SQRT(H15)))</f>
        <v>-0.60093824232426141</v>
      </c>
      <c r="N15" s="14">
        <f>IF(A15="","",IF(C15="OPTION",K15*L15*IF(LEFT(UPPER(Trades!$Q13),1)="C",(E15*EXP(-F15*H15)*_xlfn.NORM.S.DIST(M15,TRUE)-J15*EXP(-I15*H15)*_xlfn.NORM.S.DIST(M15-G15*SQRT(H15),TRUE)),(J15*EXP(-I15*H15)*_xlfn.NORM.S.DIST(-(M15-G15*SQRT(H15)),TRUE)-E15*EXP(-F15*H15)*_xlfn.NORM.S.DIST(-M15,TRUE))),K15*L15*(E15-J15)+IF(UPPER(Trades!$M13)="AVERAGE",0,N(Trades!$O13))-K15*L15*J15*N(Trades!$L13)*H15*365/360*EXP(-I15*H15/2)))</f>
        <v>1660108.3098758522</v>
      </c>
      <c r="O15" s="14">
        <f>IF(A15="","",SUMIFS(LegMTM!$F:$F,LegMTM!$B:$B,A15,LegMTM!$C:$C,B15))</f>
        <v>0</v>
      </c>
      <c r="P15" s="14">
        <f>IF(A15="","",N15-O15)</f>
        <v>1660108.3098758522</v>
      </c>
      <c r="Q15" s="14">
        <f>IF(A15="","",IF($B$1&gt;=H15,0,IF(C15="OPTION",IF(K15&gt;0,N15*EXP(I15*$B$1),0),IF(OR(UPPER(Trades!$J13)="",UPPER(Trades!$J13)="NONE"),IF(K15&gt;0,L15*((E15*EXP((I15-F15)*$B$1))*_xlfn.NORM.S.DIST(((LN(E15/J15)-F15*$B$1+G15^2/2*$B$1)/(G15*SQRT($B$1))),TRUE)-(J15*EXP(I15*$B$1))*_xlfn.NORM.S.DIST(((LN(E15/J15)-F15*$B$1+G15^2/2*$B$1)/(G15*SQRT($B$1)))-G15*SQRT($B$1),TRUE)),L15*((J15*EXP(I15*$B$1))*_xlfn.NORM.S.DIST(-(((LN(E15/J15)-F15*$B$1+G15^2/2*$B$1)/(G15*SQRT($B$1)))-G15*SQRT($B$1)),TRUE)-(E15*EXP((I15-F15)*$B$1))*_xlfn.NORM.S.DIST(-((LN(E15/J15)-F15*$B$1+G15^2/2*$B$1)/(G15*SQRT($B$1))),TRUE))),"reset: see AnalyticCheck"))))</f>
        <v>0</v>
      </c>
    </row>
    <row r="16" spans="1:17" x14ac:dyDescent="0.35">
      <c r="A16" t="str">
        <f>IF(Trades!$A14="","",Trades!$A14)</f>
        <v/>
      </c>
      <c r="B16" t="str">
        <f>IF(A16="","",Trades!$C14)</f>
        <v/>
      </c>
      <c r="C16" t="str">
        <f>IF(A16="","",UPPER(Trades!$D14))</f>
        <v/>
      </c>
      <c r="D16" t="str">
        <f>IF(A16="","",Trades!$E14)</f>
        <v/>
      </c>
      <c r="E16" s="13" t="str">
        <f>IF(A16="","",INDEX(Market!$J:$J,MATCH(D16,Market!$A:$A,0)))</f>
        <v/>
      </c>
      <c r="F16" s="13" t="str">
        <f>IF(A16="","",INDEX(Market!$K:$K,MATCH(D16,Market!$A:$A,0)))</f>
        <v/>
      </c>
      <c r="G16" s="13" t="str">
        <f>IF(A16="","",IF(AND(C16="OPTION",Trades!$T14&lt;&gt;""),Trades!$T14,INDEX(Market!$L:$L,MATCH(D16,Market!$A:$A,0))))</f>
        <v/>
      </c>
      <c r="H16" s="13" t="str">
        <f>IF(A16="","",IF(ISNUMBER(IF(C16="OPTION",Trades!$S14,Trades!$I14)),(IF(C16="OPTION",Trades!$S14,Trades!$I14)-Config!$B$2)/365,VALUE(LEFT(IF(C16="OPTION",Trades!$S14,Trades!$I14),LEN(IF(C16="OPTION",Trades!$S14,Trades!$I14))-1))*CHOOSE(MATCH(RIGHT(IF(C16="OPTION",Trades!$S14,Trades!$I14),1),{"D","W","M","Y"},0),1/365,7/365,1/12,1)))</f>
        <v/>
      </c>
      <c r="I16" s="13" t="str">
        <f>IF(A16="","",IFERROR(LOOKUP(2,1/((Curve!$G$2:$G$200=IF(IFERROR(INDEX(Market!$M:$M,MATCH(D16,Market!$A:$A,0))&amp;"","")="",IFERROR(VLOOKUP("reporting_ccy",Config!$A:$B,2,FALSE),""),INDEX(Market!$M:$M,MATCH(D16,Market!$A:$A,0))))*(Curve!$F$2:$F$200&lt;=H16)),Curve!$E$2:$E$200),IFERROR(INDEX(Curve!$E:$E,MATCH(IF(IFERROR(INDEX(Market!$M:$M,MATCH(D16,Market!$A:$A,0))&amp;"","")="",IFERROR(VLOOKUP("reporting_ccy",Config!$A:$B,2,FALSE),""),INDEX(Market!$M:$M,MATCH(D16,Market!$A:$A,0))),Curve!$G:$G,0)),Curve!$E$2)))</f>
        <v/>
      </c>
      <c r="J16" s="13" t="str">
        <f>IF(A16="","",IF(C16="OPTION",IF(ISNUMBER(Trades!$R14),Trades!$R14,IF(RIGHT(Trades!$R14,1)="%",VALUE(SUBSTITUTE(Trades!$R14,"%",""))/100*E16,VALUE(Trades!$R14))),IF(UPPER(Trades!$M14)="AVERAGE",Trades!$N14,E16)))</f>
        <v/>
      </c>
      <c r="K16" s="13" t="str">
        <f>IF(A16="","",IF(OR(UPPER(Trades!$F14)="BUY",UPPER(Trades!$F14)="RECEIVE_EQUITY"),1,-1))</f>
        <v/>
      </c>
      <c r="L16" s="13" t="str">
        <f>IF(A16="","",Trades!$G14)</f>
        <v/>
      </c>
      <c r="M16" s="13" t="str">
        <f>IF(A16="","",(LN(E16/J16)+(I16-F16+G16^2/2)*H16)/(G16*SQRT(H16)))</f>
        <v/>
      </c>
      <c r="N16" s="14" t="str">
        <f>IF(A16="","",IF(C16="OPTION",K16*L16*IF(LEFT(UPPER(Trades!$Q14),1)="C",(E16*EXP(-F16*H16)*_xlfn.NORM.S.DIST(M16,TRUE)-J16*EXP(-I16*H16)*_xlfn.NORM.S.DIST(M16-G16*SQRT(H16),TRUE)),(J16*EXP(-I16*H16)*_xlfn.NORM.S.DIST(-(M16-G16*SQRT(H16)),TRUE)-E16*EXP(-F16*H16)*_xlfn.NORM.S.DIST(-M16,TRUE))),K16*L16*(E16-J16)+IF(UPPER(Trades!$M14)="AVERAGE",0,N(Trades!$O14))-K16*L16*J16*N(Trades!$L14)*H16*365/360*EXP(-I16*H16/2)))</f>
        <v/>
      </c>
      <c r="O16" s="14" t="str">
        <f>IF(A16="","",SUMIFS(LegMTM!$F:$F,LegMTM!$B:$B,A16,LegMTM!$C:$C,B16))</f>
        <v/>
      </c>
      <c r="P16" s="14" t="str">
        <f>IF(A16="","",N16-O16)</f>
        <v/>
      </c>
      <c r="Q16" s="14" t="str">
        <f>IF(A16="","",IF($B$1&gt;=H16,0,IF(C16="OPTION",IF(K16&gt;0,N16*EXP(I16*$B$1),0),IF(OR(UPPER(Trades!$J14)="",UPPER(Trades!$J14)="NONE"),IF(K16&gt;0,L16*((E16*EXP((I16-F16)*$B$1))*_xlfn.NORM.S.DIST(((LN(E16/J16)-F16*$B$1+G16^2/2*$B$1)/(G16*SQRT($B$1))),TRUE)-(J16*EXP(I16*$B$1))*_xlfn.NORM.S.DIST(((LN(E16/J16)-F16*$B$1+G16^2/2*$B$1)/(G16*SQRT($B$1)))-G16*SQRT($B$1),TRUE)),L16*((J16*EXP(I16*$B$1))*_xlfn.NORM.S.DIST(-(((LN(E16/J16)-F16*$B$1+G16^2/2*$B$1)/(G16*SQRT($B$1)))-G16*SQRT($B$1)),TRUE)-(E16*EXP((I16-F16)*$B$1))*_xlfn.NORM.S.DIST(-((LN(E16/J16)-F16*$B$1+G16^2/2*$B$1)/(G16*SQRT($B$1))),TRUE))),"reset: see AnalyticCheck"))))</f>
        <v/>
      </c>
    </row>
    <row r="17" spans="1:17" x14ac:dyDescent="0.35">
      <c r="A17" t="str">
        <f>IF(Trades!$A15="","",Trades!$A15)</f>
        <v/>
      </c>
      <c r="B17" t="str">
        <f>IF(A17="","",Trades!$C15)</f>
        <v/>
      </c>
      <c r="C17" t="str">
        <f>IF(A17="","",UPPER(Trades!$D15))</f>
        <v/>
      </c>
      <c r="D17" t="str">
        <f>IF(A17="","",Trades!$E15)</f>
        <v/>
      </c>
      <c r="E17" s="13" t="str">
        <f>IF(A17="","",INDEX(Market!$J:$J,MATCH(D17,Market!$A:$A,0)))</f>
        <v/>
      </c>
      <c r="F17" s="13" t="str">
        <f>IF(A17="","",INDEX(Market!$K:$K,MATCH(D17,Market!$A:$A,0)))</f>
        <v/>
      </c>
      <c r="G17" s="13" t="str">
        <f>IF(A17="","",IF(AND(C17="OPTION",Trades!$T15&lt;&gt;""),Trades!$T15,INDEX(Market!$L:$L,MATCH(D17,Market!$A:$A,0))))</f>
        <v/>
      </c>
      <c r="H17" s="13" t="str">
        <f>IF(A17="","",IF(ISNUMBER(IF(C17="OPTION",Trades!$S15,Trades!$I15)),(IF(C17="OPTION",Trades!$S15,Trades!$I15)-Config!$B$2)/365,VALUE(LEFT(IF(C17="OPTION",Trades!$S15,Trades!$I15),LEN(IF(C17="OPTION",Trades!$S15,Trades!$I15))-1))*CHOOSE(MATCH(RIGHT(IF(C17="OPTION",Trades!$S15,Trades!$I15),1),{"D","W","M","Y"},0),1/365,7/365,1/12,1)))</f>
        <v/>
      </c>
      <c r="I17" s="13" t="str">
        <f>IF(A17="","",IFERROR(LOOKUP(2,1/((Curve!$G$2:$G$200=IF(IFERROR(INDEX(Market!$M:$M,MATCH(D17,Market!$A:$A,0))&amp;"","")="",IFERROR(VLOOKUP("reporting_ccy",Config!$A:$B,2,FALSE),""),INDEX(Market!$M:$M,MATCH(D17,Market!$A:$A,0))))*(Curve!$F$2:$F$200&lt;=H17)),Curve!$E$2:$E$200),IFERROR(INDEX(Curve!$E:$E,MATCH(IF(IFERROR(INDEX(Market!$M:$M,MATCH(D17,Market!$A:$A,0))&amp;"","")="",IFERROR(VLOOKUP("reporting_ccy",Config!$A:$B,2,FALSE),""),INDEX(Market!$M:$M,MATCH(D17,Market!$A:$A,0))),Curve!$G:$G,0)),Curve!$E$2)))</f>
        <v/>
      </c>
      <c r="J17" s="13" t="str">
        <f>IF(A17="","",IF(C17="OPTION",IF(ISNUMBER(Trades!$R15),Trades!$R15,IF(RIGHT(Trades!$R15,1)="%",VALUE(SUBSTITUTE(Trades!$R15,"%",""))/100*E17,VALUE(Trades!$R15))),IF(UPPER(Trades!$M15)="AVERAGE",Trades!$N15,E17)))</f>
        <v/>
      </c>
      <c r="K17" s="13" t="str">
        <f>IF(A17="","",IF(OR(UPPER(Trades!$F15)="BUY",UPPER(Trades!$F15)="RECEIVE_EQUITY"),1,-1))</f>
        <v/>
      </c>
      <c r="L17" s="13" t="str">
        <f>IF(A17="","",Trades!$G15)</f>
        <v/>
      </c>
      <c r="M17" s="13" t="str">
        <f>IF(A17="","",(LN(E17/J17)+(I17-F17+G17^2/2)*H17)/(G17*SQRT(H17)))</f>
        <v/>
      </c>
      <c r="N17" s="14" t="str">
        <f>IF(A17="","",IF(C17="OPTION",K17*L17*IF(LEFT(UPPER(Trades!$Q15),1)="C",(E17*EXP(-F17*H17)*_xlfn.NORM.S.DIST(M17,TRUE)-J17*EXP(-I17*H17)*_xlfn.NORM.S.DIST(M17-G17*SQRT(H17),TRUE)),(J17*EXP(-I17*H17)*_xlfn.NORM.S.DIST(-(M17-G17*SQRT(H17)),TRUE)-E17*EXP(-F17*H17)*_xlfn.NORM.S.DIST(-M17,TRUE))),K17*L17*(E17-J17)+IF(UPPER(Trades!$M15)="AVERAGE",0,N(Trades!$O15))-K17*L17*J17*N(Trades!$L15)*H17*365/360*EXP(-I17*H17/2)))</f>
        <v/>
      </c>
      <c r="O17" s="14" t="str">
        <f>IF(A17="","",SUMIFS(LegMTM!$F:$F,LegMTM!$B:$B,A17,LegMTM!$C:$C,B17))</f>
        <v/>
      </c>
      <c r="P17" s="14" t="str">
        <f>IF(A17="","",N17-O17)</f>
        <v/>
      </c>
      <c r="Q17" s="14" t="str">
        <f>IF(A17="","",IF($B$1&gt;=H17,0,IF(C17="OPTION",IF(K17&gt;0,N17*EXP(I17*$B$1),0),IF(OR(UPPER(Trades!$J15)="",UPPER(Trades!$J15)="NONE"),IF(K17&gt;0,L17*((E17*EXP((I17-F17)*$B$1))*_xlfn.NORM.S.DIST(((LN(E17/J17)-F17*$B$1+G17^2/2*$B$1)/(G17*SQRT($B$1))),TRUE)-(J17*EXP(I17*$B$1))*_xlfn.NORM.S.DIST(((LN(E17/J17)-F17*$B$1+G17^2/2*$B$1)/(G17*SQRT($B$1)))-G17*SQRT($B$1),TRUE)),L17*((J17*EXP(I17*$B$1))*_xlfn.NORM.S.DIST(-(((LN(E17/J17)-F17*$B$1+G17^2/2*$B$1)/(G17*SQRT($B$1)))-G17*SQRT($B$1)),TRUE)-(E17*EXP((I17-F17)*$B$1))*_xlfn.NORM.S.DIST(-((LN(E17/J17)-F17*$B$1+G17^2/2*$B$1)/(G17*SQRT($B$1))),TRUE))),"reset: see AnalyticCheck"))))</f>
        <v/>
      </c>
    </row>
    <row r="18" spans="1:17" x14ac:dyDescent="0.35">
      <c r="A18" t="str">
        <f>IF(Trades!$A16="","",Trades!$A16)</f>
        <v/>
      </c>
      <c r="B18" t="str">
        <f>IF(A18="","",Trades!$C16)</f>
        <v/>
      </c>
      <c r="C18" t="str">
        <f>IF(A18="","",UPPER(Trades!$D16))</f>
        <v/>
      </c>
      <c r="D18" t="str">
        <f>IF(A18="","",Trades!$E16)</f>
        <v/>
      </c>
      <c r="E18" s="13" t="str">
        <f>IF(A18="","",INDEX(Market!$J:$J,MATCH(D18,Market!$A:$A,0)))</f>
        <v/>
      </c>
      <c r="F18" s="13" t="str">
        <f>IF(A18="","",INDEX(Market!$K:$K,MATCH(D18,Market!$A:$A,0)))</f>
        <v/>
      </c>
      <c r="G18" s="13" t="str">
        <f>IF(A18="","",IF(AND(C18="OPTION",Trades!$T16&lt;&gt;""),Trades!$T16,INDEX(Market!$L:$L,MATCH(D18,Market!$A:$A,0))))</f>
        <v/>
      </c>
      <c r="H18" s="13" t="str">
        <f>IF(A18="","",IF(ISNUMBER(IF(C18="OPTION",Trades!$S16,Trades!$I16)),(IF(C18="OPTION",Trades!$S16,Trades!$I16)-Config!$B$2)/365,VALUE(LEFT(IF(C18="OPTION",Trades!$S16,Trades!$I16),LEN(IF(C18="OPTION",Trades!$S16,Trades!$I16))-1))*CHOOSE(MATCH(RIGHT(IF(C18="OPTION",Trades!$S16,Trades!$I16),1),{"D","W","M","Y"},0),1/365,7/365,1/12,1)))</f>
        <v/>
      </c>
      <c r="I18" s="13" t="str">
        <f>IF(A18="","",IFERROR(LOOKUP(2,1/((Curve!$G$2:$G$200=IF(IFERROR(INDEX(Market!$M:$M,MATCH(D18,Market!$A:$A,0))&amp;"","")="",IFERROR(VLOOKUP("reporting_ccy",Config!$A:$B,2,FALSE),""),INDEX(Market!$M:$M,MATCH(D18,Market!$A:$A,0))))*(Curve!$F$2:$F$200&lt;=H18)),Curve!$E$2:$E$200),IFERROR(INDEX(Curve!$E:$E,MATCH(IF(IFERROR(INDEX(Market!$M:$M,MATCH(D18,Market!$A:$A,0))&amp;"","")="",IFERROR(VLOOKUP("reporting_ccy",Config!$A:$B,2,FALSE),""),INDEX(Market!$M:$M,MATCH(D18,Market!$A:$A,0))),Curve!$G:$G,0)),Curve!$E$2)))</f>
        <v/>
      </c>
      <c r="J18" s="13" t="str">
        <f>IF(A18="","",IF(C18="OPTION",IF(ISNUMBER(Trades!$R16),Trades!$R16,IF(RIGHT(Trades!$R16,1)="%",VALUE(SUBSTITUTE(Trades!$R16,"%",""))/100*E18,VALUE(Trades!$R16))),IF(UPPER(Trades!$M16)="AVERAGE",Trades!$N16,E18)))</f>
        <v/>
      </c>
      <c r="K18" s="13" t="str">
        <f>IF(A18="","",IF(OR(UPPER(Trades!$F16)="BUY",UPPER(Trades!$F16)="RECEIVE_EQUITY"),1,-1))</f>
        <v/>
      </c>
      <c r="L18" s="13" t="str">
        <f>IF(A18="","",Trades!$G16)</f>
        <v/>
      </c>
      <c r="M18" s="13" t="str">
        <f>IF(A18="","",(LN(E18/J18)+(I18-F18+G18^2/2)*H18)/(G18*SQRT(H18)))</f>
        <v/>
      </c>
      <c r="N18" s="14" t="str">
        <f>IF(A18="","",IF(C18="OPTION",K18*L18*IF(LEFT(UPPER(Trades!$Q16),1)="C",(E18*EXP(-F18*H18)*_xlfn.NORM.S.DIST(M18,TRUE)-J18*EXP(-I18*H18)*_xlfn.NORM.S.DIST(M18-G18*SQRT(H18),TRUE)),(J18*EXP(-I18*H18)*_xlfn.NORM.S.DIST(-(M18-G18*SQRT(H18)),TRUE)-E18*EXP(-F18*H18)*_xlfn.NORM.S.DIST(-M18,TRUE))),K18*L18*(E18-J18)+IF(UPPER(Trades!$M16)="AVERAGE",0,N(Trades!$O16))-K18*L18*J18*N(Trades!$L16)*H18*365/360*EXP(-I18*H18/2)))</f>
        <v/>
      </c>
      <c r="O18" s="14" t="str">
        <f>IF(A18="","",SUMIFS(LegMTM!$F:$F,LegMTM!$B:$B,A18,LegMTM!$C:$C,B18))</f>
        <v/>
      </c>
      <c r="P18" s="14" t="str">
        <f>IF(A18="","",N18-O18)</f>
        <v/>
      </c>
      <c r="Q18" s="14" t="str">
        <f>IF(A18="","",IF($B$1&gt;=H18,0,IF(C18="OPTION",IF(K18&gt;0,N18*EXP(I18*$B$1),0),IF(OR(UPPER(Trades!$J16)="",UPPER(Trades!$J16)="NONE"),IF(K18&gt;0,L18*((E18*EXP((I18-F18)*$B$1))*_xlfn.NORM.S.DIST(((LN(E18/J18)-F18*$B$1+G18^2/2*$B$1)/(G18*SQRT($B$1))),TRUE)-(J18*EXP(I18*$B$1))*_xlfn.NORM.S.DIST(((LN(E18/J18)-F18*$B$1+G18^2/2*$B$1)/(G18*SQRT($B$1)))-G18*SQRT($B$1),TRUE)),L18*((J18*EXP(I18*$B$1))*_xlfn.NORM.S.DIST(-(((LN(E18/J18)-F18*$B$1+G18^2/2*$B$1)/(G18*SQRT($B$1)))-G18*SQRT($B$1)),TRUE)-(E18*EXP((I18-F18)*$B$1))*_xlfn.NORM.S.DIST(-((LN(E18/J18)-F18*$B$1+G18^2/2*$B$1)/(G18*SQRT($B$1))),TRUE))),"reset: see AnalyticCheck"))))</f>
        <v/>
      </c>
    </row>
    <row r="19" spans="1:17" x14ac:dyDescent="0.35">
      <c r="A19" t="str">
        <f>IF(Trades!$A17="","",Trades!$A17)</f>
        <v/>
      </c>
      <c r="B19" t="str">
        <f>IF(A19="","",Trades!$C17)</f>
        <v/>
      </c>
      <c r="C19" t="str">
        <f>IF(A19="","",UPPER(Trades!$D17))</f>
        <v/>
      </c>
      <c r="D19" t="str">
        <f>IF(A19="","",Trades!$E17)</f>
        <v/>
      </c>
      <c r="E19" s="13" t="str">
        <f>IF(A19="","",INDEX(Market!$J:$J,MATCH(D19,Market!$A:$A,0)))</f>
        <v/>
      </c>
      <c r="F19" s="13" t="str">
        <f>IF(A19="","",INDEX(Market!$K:$K,MATCH(D19,Market!$A:$A,0)))</f>
        <v/>
      </c>
      <c r="G19" s="13" t="str">
        <f>IF(A19="","",IF(AND(C19="OPTION",Trades!$T17&lt;&gt;""),Trades!$T17,INDEX(Market!$L:$L,MATCH(D19,Market!$A:$A,0))))</f>
        <v/>
      </c>
      <c r="H19" s="13" t="str">
        <f>IF(A19="","",IF(ISNUMBER(IF(C19="OPTION",Trades!$S17,Trades!$I17)),(IF(C19="OPTION",Trades!$S17,Trades!$I17)-Config!$B$2)/365,VALUE(LEFT(IF(C19="OPTION",Trades!$S17,Trades!$I17),LEN(IF(C19="OPTION",Trades!$S17,Trades!$I17))-1))*CHOOSE(MATCH(RIGHT(IF(C19="OPTION",Trades!$S17,Trades!$I17),1),{"D","W","M","Y"},0),1/365,7/365,1/12,1)))</f>
        <v/>
      </c>
      <c r="I19" s="13" t="str">
        <f>IF(A19="","",IFERROR(LOOKUP(2,1/((Curve!$G$2:$G$200=IF(IFERROR(INDEX(Market!$M:$M,MATCH(D19,Market!$A:$A,0))&amp;"","")="",IFERROR(VLOOKUP("reporting_ccy",Config!$A:$B,2,FALSE),""),INDEX(Market!$M:$M,MATCH(D19,Market!$A:$A,0))))*(Curve!$F$2:$F$200&lt;=H19)),Curve!$E$2:$E$200),IFERROR(INDEX(Curve!$E:$E,MATCH(IF(IFERROR(INDEX(Market!$M:$M,MATCH(D19,Market!$A:$A,0))&amp;"","")="",IFERROR(VLOOKUP("reporting_ccy",Config!$A:$B,2,FALSE),""),INDEX(Market!$M:$M,MATCH(D19,Market!$A:$A,0))),Curve!$G:$G,0)),Curve!$E$2)))</f>
        <v/>
      </c>
      <c r="J19" s="13" t="str">
        <f>IF(A19="","",IF(C19="OPTION",IF(ISNUMBER(Trades!$R17),Trades!$R17,IF(RIGHT(Trades!$R17,1)="%",VALUE(SUBSTITUTE(Trades!$R17,"%",""))/100*E19,VALUE(Trades!$R17))),IF(UPPER(Trades!$M17)="AVERAGE",Trades!$N17,E19)))</f>
        <v/>
      </c>
      <c r="K19" s="13" t="str">
        <f>IF(A19="","",IF(OR(UPPER(Trades!$F17)="BUY",UPPER(Trades!$F17)="RECEIVE_EQUITY"),1,-1))</f>
        <v/>
      </c>
      <c r="L19" s="13" t="str">
        <f>IF(A19="","",Trades!$G17)</f>
        <v/>
      </c>
      <c r="M19" s="13" t="str">
        <f>IF(A19="","",(LN(E19/J19)+(I19-F19+G19^2/2)*H19)/(G19*SQRT(H19)))</f>
        <v/>
      </c>
      <c r="N19" s="14" t="str">
        <f>IF(A19="","",IF(C19="OPTION",K19*L19*IF(LEFT(UPPER(Trades!$Q17),1)="C",(E19*EXP(-F19*H19)*_xlfn.NORM.S.DIST(M19,TRUE)-J19*EXP(-I19*H19)*_xlfn.NORM.S.DIST(M19-G19*SQRT(H19),TRUE)),(J19*EXP(-I19*H19)*_xlfn.NORM.S.DIST(-(M19-G19*SQRT(H19)),TRUE)-E19*EXP(-F19*H19)*_xlfn.NORM.S.DIST(-M19,TRUE))),K19*L19*(E19-J19)+IF(UPPER(Trades!$M17)="AVERAGE",0,N(Trades!$O17))-K19*L19*J19*N(Trades!$L17)*H19*365/360*EXP(-I19*H19/2)))</f>
        <v/>
      </c>
      <c r="O19" s="14" t="str">
        <f>IF(A19="","",SUMIFS(LegMTM!$F:$F,LegMTM!$B:$B,A19,LegMTM!$C:$C,B19))</f>
        <v/>
      </c>
      <c r="P19" s="14" t="str">
        <f>IF(A19="","",N19-O19)</f>
        <v/>
      </c>
      <c r="Q19" s="14" t="str">
        <f>IF(A19="","",IF($B$1&gt;=H19,0,IF(C19="OPTION",IF(K19&gt;0,N19*EXP(I19*$B$1),0),IF(OR(UPPER(Trades!$J17)="",UPPER(Trades!$J17)="NONE"),IF(K19&gt;0,L19*((E19*EXP((I19-F19)*$B$1))*_xlfn.NORM.S.DIST(((LN(E19/J19)-F19*$B$1+G19^2/2*$B$1)/(G19*SQRT($B$1))),TRUE)-(J19*EXP(I19*$B$1))*_xlfn.NORM.S.DIST(((LN(E19/J19)-F19*$B$1+G19^2/2*$B$1)/(G19*SQRT($B$1)))-G19*SQRT($B$1),TRUE)),L19*((J19*EXP(I19*$B$1))*_xlfn.NORM.S.DIST(-(((LN(E19/J19)-F19*$B$1+G19^2/2*$B$1)/(G19*SQRT($B$1)))-G19*SQRT($B$1)),TRUE)-(E19*EXP((I19-F19)*$B$1))*_xlfn.NORM.S.DIST(-((LN(E19/J19)-F19*$B$1+G19^2/2*$B$1)/(G19*SQRT($B$1))),TRUE))),"reset: see AnalyticCheck"))))</f>
        <v/>
      </c>
    </row>
    <row r="20" spans="1:17" x14ac:dyDescent="0.35">
      <c r="A20" t="str">
        <f>IF(Trades!$A18="","",Trades!$A18)</f>
        <v/>
      </c>
      <c r="B20" t="str">
        <f>IF(A20="","",Trades!$C18)</f>
        <v/>
      </c>
      <c r="C20" t="str">
        <f>IF(A20="","",UPPER(Trades!$D18))</f>
        <v/>
      </c>
      <c r="D20" t="str">
        <f>IF(A20="","",Trades!$E18)</f>
        <v/>
      </c>
      <c r="E20" s="13" t="str">
        <f>IF(A20="","",INDEX(Market!$J:$J,MATCH(D20,Market!$A:$A,0)))</f>
        <v/>
      </c>
      <c r="F20" s="13" t="str">
        <f>IF(A20="","",INDEX(Market!$K:$K,MATCH(D20,Market!$A:$A,0)))</f>
        <v/>
      </c>
      <c r="G20" s="13" t="str">
        <f>IF(A20="","",IF(AND(C20="OPTION",Trades!$T18&lt;&gt;""),Trades!$T18,INDEX(Market!$L:$L,MATCH(D20,Market!$A:$A,0))))</f>
        <v/>
      </c>
      <c r="H20" s="13" t="str">
        <f>IF(A20="","",IF(ISNUMBER(IF(C20="OPTION",Trades!$S18,Trades!$I18)),(IF(C20="OPTION",Trades!$S18,Trades!$I18)-Config!$B$2)/365,VALUE(LEFT(IF(C20="OPTION",Trades!$S18,Trades!$I18),LEN(IF(C20="OPTION",Trades!$S18,Trades!$I18))-1))*CHOOSE(MATCH(RIGHT(IF(C20="OPTION",Trades!$S18,Trades!$I18),1),{"D","W","M","Y"},0),1/365,7/365,1/12,1)))</f>
        <v/>
      </c>
      <c r="I20" s="13" t="str">
        <f>IF(A20="","",IFERROR(LOOKUP(2,1/((Curve!$G$2:$G$200=IF(IFERROR(INDEX(Market!$M:$M,MATCH(D20,Market!$A:$A,0))&amp;"","")="",IFERROR(VLOOKUP("reporting_ccy",Config!$A:$B,2,FALSE),""),INDEX(Market!$M:$M,MATCH(D20,Market!$A:$A,0))))*(Curve!$F$2:$F$200&lt;=H20)),Curve!$E$2:$E$200),IFERROR(INDEX(Curve!$E:$E,MATCH(IF(IFERROR(INDEX(Market!$M:$M,MATCH(D20,Market!$A:$A,0))&amp;"","")="",IFERROR(VLOOKUP("reporting_ccy",Config!$A:$B,2,FALSE),""),INDEX(Market!$M:$M,MATCH(D20,Market!$A:$A,0))),Curve!$G:$G,0)),Curve!$E$2)))</f>
        <v/>
      </c>
      <c r="J20" s="13" t="str">
        <f>IF(A20="","",IF(C20="OPTION",IF(ISNUMBER(Trades!$R18),Trades!$R18,IF(RIGHT(Trades!$R18,1)="%",VALUE(SUBSTITUTE(Trades!$R18,"%",""))/100*E20,VALUE(Trades!$R18))),IF(UPPER(Trades!$M18)="AVERAGE",Trades!$N18,E20)))</f>
        <v/>
      </c>
      <c r="K20" s="13" t="str">
        <f>IF(A20="","",IF(OR(UPPER(Trades!$F18)="BUY",UPPER(Trades!$F18)="RECEIVE_EQUITY"),1,-1))</f>
        <v/>
      </c>
      <c r="L20" s="13" t="str">
        <f>IF(A20="","",Trades!$G18)</f>
        <v/>
      </c>
      <c r="M20" s="13" t="str">
        <f>IF(A20="","",(LN(E20/J20)+(I20-F20+G20^2/2)*H20)/(G20*SQRT(H20)))</f>
        <v/>
      </c>
      <c r="N20" s="14" t="str">
        <f>IF(A20="","",IF(C20="OPTION",K20*L20*IF(LEFT(UPPER(Trades!$Q18),1)="C",(E20*EXP(-F20*H20)*_xlfn.NORM.S.DIST(M20,TRUE)-J20*EXP(-I20*H20)*_xlfn.NORM.S.DIST(M20-G20*SQRT(H20),TRUE)),(J20*EXP(-I20*H20)*_xlfn.NORM.S.DIST(-(M20-G20*SQRT(H20)),TRUE)-E20*EXP(-F20*H20)*_xlfn.NORM.S.DIST(-M20,TRUE))),K20*L20*(E20-J20)+IF(UPPER(Trades!$M18)="AVERAGE",0,N(Trades!$O18))-K20*L20*J20*N(Trades!$L18)*H20*365/360*EXP(-I20*H20/2)))</f>
        <v/>
      </c>
      <c r="O20" s="14" t="str">
        <f>IF(A20="","",SUMIFS(LegMTM!$F:$F,LegMTM!$B:$B,A20,LegMTM!$C:$C,B20))</f>
        <v/>
      </c>
      <c r="P20" s="14" t="str">
        <f>IF(A20="","",N20-O20)</f>
        <v/>
      </c>
      <c r="Q20" s="14" t="str">
        <f>IF(A20="","",IF($B$1&gt;=H20,0,IF(C20="OPTION",IF(K20&gt;0,N20*EXP(I20*$B$1),0),IF(OR(UPPER(Trades!$J18)="",UPPER(Trades!$J18)="NONE"),IF(K20&gt;0,L20*((E20*EXP((I20-F20)*$B$1))*_xlfn.NORM.S.DIST(((LN(E20/J20)-F20*$B$1+G20^2/2*$B$1)/(G20*SQRT($B$1))),TRUE)-(J20*EXP(I20*$B$1))*_xlfn.NORM.S.DIST(((LN(E20/J20)-F20*$B$1+G20^2/2*$B$1)/(G20*SQRT($B$1)))-G20*SQRT($B$1),TRUE)),L20*((J20*EXP(I20*$B$1))*_xlfn.NORM.S.DIST(-(((LN(E20/J20)-F20*$B$1+G20^2/2*$B$1)/(G20*SQRT($B$1)))-G20*SQRT($B$1)),TRUE)-(E20*EXP((I20-F20)*$B$1))*_xlfn.NORM.S.DIST(-((LN(E20/J20)-F20*$B$1+G20^2/2*$B$1)/(G20*SQRT($B$1))),TRUE))),"reset: see AnalyticCheck"))))</f>
        <v/>
      </c>
    </row>
    <row r="21" spans="1:17" x14ac:dyDescent="0.35">
      <c r="A21" t="str">
        <f>IF(Trades!$A19="","",Trades!$A19)</f>
        <v/>
      </c>
      <c r="B21" t="str">
        <f>IF(A21="","",Trades!$C19)</f>
        <v/>
      </c>
      <c r="C21" t="str">
        <f>IF(A21="","",UPPER(Trades!$D19))</f>
        <v/>
      </c>
      <c r="D21" t="str">
        <f>IF(A21="","",Trades!$E19)</f>
        <v/>
      </c>
      <c r="E21" s="13" t="str">
        <f>IF(A21="","",INDEX(Market!$J:$J,MATCH(D21,Market!$A:$A,0)))</f>
        <v/>
      </c>
      <c r="F21" s="13" t="str">
        <f>IF(A21="","",INDEX(Market!$K:$K,MATCH(D21,Market!$A:$A,0)))</f>
        <v/>
      </c>
      <c r="G21" s="13" t="str">
        <f>IF(A21="","",IF(AND(C21="OPTION",Trades!$T19&lt;&gt;""),Trades!$T19,INDEX(Market!$L:$L,MATCH(D21,Market!$A:$A,0))))</f>
        <v/>
      </c>
      <c r="H21" s="13" t="str">
        <f>IF(A21="","",IF(ISNUMBER(IF(C21="OPTION",Trades!$S19,Trades!$I19)),(IF(C21="OPTION",Trades!$S19,Trades!$I19)-Config!$B$2)/365,VALUE(LEFT(IF(C21="OPTION",Trades!$S19,Trades!$I19),LEN(IF(C21="OPTION",Trades!$S19,Trades!$I19))-1))*CHOOSE(MATCH(RIGHT(IF(C21="OPTION",Trades!$S19,Trades!$I19),1),{"D","W","M","Y"},0),1/365,7/365,1/12,1)))</f>
        <v/>
      </c>
      <c r="I21" s="13" t="str">
        <f>IF(A21="","",IFERROR(LOOKUP(2,1/((Curve!$G$2:$G$200=IF(IFERROR(INDEX(Market!$M:$M,MATCH(D21,Market!$A:$A,0))&amp;"","")="",IFERROR(VLOOKUP("reporting_ccy",Config!$A:$B,2,FALSE),""),INDEX(Market!$M:$M,MATCH(D21,Market!$A:$A,0))))*(Curve!$F$2:$F$200&lt;=H21)),Curve!$E$2:$E$200),IFERROR(INDEX(Curve!$E:$E,MATCH(IF(IFERROR(INDEX(Market!$M:$M,MATCH(D21,Market!$A:$A,0))&amp;"","")="",IFERROR(VLOOKUP("reporting_ccy",Config!$A:$B,2,FALSE),""),INDEX(Market!$M:$M,MATCH(D21,Market!$A:$A,0))),Curve!$G:$G,0)),Curve!$E$2)))</f>
        <v/>
      </c>
      <c r="J21" s="13" t="str">
        <f>IF(A21="","",IF(C21="OPTION",IF(ISNUMBER(Trades!$R19),Trades!$R19,IF(RIGHT(Trades!$R19,1)="%",VALUE(SUBSTITUTE(Trades!$R19,"%",""))/100*E21,VALUE(Trades!$R19))),IF(UPPER(Trades!$M19)="AVERAGE",Trades!$N19,E21)))</f>
        <v/>
      </c>
      <c r="K21" s="13" t="str">
        <f>IF(A21="","",IF(OR(UPPER(Trades!$F19)="BUY",UPPER(Trades!$F19)="RECEIVE_EQUITY"),1,-1))</f>
        <v/>
      </c>
      <c r="L21" s="13" t="str">
        <f>IF(A21="","",Trades!$G19)</f>
        <v/>
      </c>
      <c r="M21" s="13" t="str">
        <f>IF(A21="","",(LN(E21/J21)+(I21-F21+G21^2/2)*H21)/(G21*SQRT(H21)))</f>
        <v/>
      </c>
      <c r="N21" s="14" t="str">
        <f>IF(A21="","",IF(C21="OPTION",K21*L21*IF(LEFT(UPPER(Trades!$Q19),1)="C",(E21*EXP(-F21*H21)*_xlfn.NORM.S.DIST(M21,TRUE)-J21*EXP(-I21*H21)*_xlfn.NORM.S.DIST(M21-G21*SQRT(H21),TRUE)),(J21*EXP(-I21*H21)*_xlfn.NORM.S.DIST(-(M21-G21*SQRT(H21)),TRUE)-E21*EXP(-F21*H21)*_xlfn.NORM.S.DIST(-M21,TRUE))),K21*L21*(E21-J21)+IF(UPPER(Trades!$M19)="AVERAGE",0,N(Trades!$O19))-K21*L21*J21*N(Trades!$L19)*H21*365/360*EXP(-I21*H21/2)))</f>
        <v/>
      </c>
      <c r="O21" s="14" t="str">
        <f>IF(A21="","",SUMIFS(LegMTM!$F:$F,LegMTM!$B:$B,A21,LegMTM!$C:$C,B21))</f>
        <v/>
      </c>
      <c r="P21" s="14" t="str">
        <f>IF(A21="","",N21-O21)</f>
        <v/>
      </c>
      <c r="Q21" s="14" t="str">
        <f>IF(A21="","",IF($B$1&gt;=H21,0,IF(C21="OPTION",IF(K21&gt;0,N21*EXP(I21*$B$1),0),IF(OR(UPPER(Trades!$J19)="",UPPER(Trades!$J19)="NONE"),IF(K21&gt;0,L21*((E21*EXP((I21-F21)*$B$1))*_xlfn.NORM.S.DIST(((LN(E21/J21)-F21*$B$1+G21^2/2*$B$1)/(G21*SQRT($B$1))),TRUE)-(J21*EXP(I21*$B$1))*_xlfn.NORM.S.DIST(((LN(E21/J21)-F21*$B$1+G21^2/2*$B$1)/(G21*SQRT($B$1)))-G21*SQRT($B$1),TRUE)),L21*((J21*EXP(I21*$B$1))*_xlfn.NORM.S.DIST(-(((LN(E21/J21)-F21*$B$1+G21^2/2*$B$1)/(G21*SQRT($B$1)))-G21*SQRT($B$1)),TRUE)-(E21*EXP((I21-F21)*$B$1))*_xlfn.NORM.S.DIST(-((LN(E21/J21)-F21*$B$1+G21^2/2*$B$1)/(G21*SQRT($B$1))),TRUE))),"reset: see AnalyticCheck"))))</f>
        <v/>
      </c>
    </row>
    <row r="22" spans="1:17" x14ac:dyDescent="0.35">
      <c r="A22" t="str">
        <f>IF(Trades!$A20="","",Trades!$A20)</f>
        <v/>
      </c>
      <c r="B22" t="str">
        <f>IF(A22="","",Trades!$C20)</f>
        <v/>
      </c>
      <c r="C22" t="str">
        <f>IF(A22="","",UPPER(Trades!$D20))</f>
        <v/>
      </c>
      <c r="D22" t="str">
        <f>IF(A22="","",Trades!$E20)</f>
        <v/>
      </c>
      <c r="E22" s="13" t="str">
        <f>IF(A22="","",INDEX(Market!$J:$J,MATCH(D22,Market!$A:$A,0)))</f>
        <v/>
      </c>
      <c r="F22" s="13" t="str">
        <f>IF(A22="","",INDEX(Market!$K:$K,MATCH(D22,Market!$A:$A,0)))</f>
        <v/>
      </c>
      <c r="G22" s="13" t="str">
        <f>IF(A22="","",IF(AND(C22="OPTION",Trades!$T20&lt;&gt;""),Trades!$T20,INDEX(Market!$L:$L,MATCH(D22,Market!$A:$A,0))))</f>
        <v/>
      </c>
      <c r="H22" s="13" t="str">
        <f>IF(A22="","",IF(ISNUMBER(IF(C22="OPTION",Trades!$S20,Trades!$I20)),(IF(C22="OPTION",Trades!$S20,Trades!$I20)-Config!$B$2)/365,VALUE(LEFT(IF(C22="OPTION",Trades!$S20,Trades!$I20),LEN(IF(C22="OPTION",Trades!$S20,Trades!$I20))-1))*CHOOSE(MATCH(RIGHT(IF(C22="OPTION",Trades!$S20,Trades!$I20),1),{"D","W","M","Y"},0),1/365,7/365,1/12,1)))</f>
        <v/>
      </c>
      <c r="I22" s="13" t="str">
        <f>IF(A22="","",IFERROR(LOOKUP(2,1/((Curve!$G$2:$G$200=IF(IFERROR(INDEX(Market!$M:$M,MATCH(D22,Market!$A:$A,0))&amp;"","")="",IFERROR(VLOOKUP("reporting_ccy",Config!$A:$B,2,FALSE),""),INDEX(Market!$M:$M,MATCH(D22,Market!$A:$A,0))))*(Curve!$F$2:$F$200&lt;=H22)),Curve!$E$2:$E$200),IFERROR(INDEX(Curve!$E:$E,MATCH(IF(IFERROR(INDEX(Market!$M:$M,MATCH(D22,Market!$A:$A,0))&amp;"","")="",IFERROR(VLOOKUP("reporting_ccy",Config!$A:$B,2,FALSE),""),INDEX(Market!$M:$M,MATCH(D22,Market!$A:$A,0))),Curve!$G:$G,0)),Curve!$E$2)))</f>
        <v/>
      </c>
      <c r="J22" s="13" t="str">
        <f>IF(A22="","",IF(C22="OPTION",IF(ISNUMBER(Trades!$R20),Trades!$R20,IF(RIGHT(Trades!$R20,1)="%",VALUE(SUBSTITUTE(Trades!$R20,"%",""))/100*E22,VALUE(Trades!$R20))),IF(UPPER(Trades!$M20)="AVERAGE",Trades!$N20,E22)))</f>
        <v/>
      </c>
      <c r="K22" s="13" t="str">
        <f>IF(A22="","",IF(OR(UPPER(Trades!$F20)="BUY",UPPER(Trades!$F20)="RECEIVE_EQUITY"),1,-1))</f>
        <v/>
      </c>
      <c r="L22" s="13" t="str">
        <f>IF(A22="","",Trades!$G20)</f>
        <v/>
      </c>
      <c r="M22" s="13" t="str">
        <f>IF(A22="","",(LN(E22/J22)+(I22-F22+G22^2/2)*H22)/(G22*SQRT(H22)))</f>
        <v/>
      </c>
      <c r="N22" s="14" t="str">
        <f>IF(A22="","",IF(C22="OPTION",K22*L22*IF(LEFT(UPPER(Trades!$Q20),1)="C",(E22*EXP(-F22*H22)*_xlfn.NORM.S.DIST(M22,TRUE)-J22*EXP(-I22*H22)*_xlfn.NORM.S.DIST(M22-G22*SQRT(H22),TRUE)),(J22*EXP(-I22*H22)*_xlfn.NORM.S.DIST(-(M22-G22*SQRT(H22)),TRUE)-E22*EXP(-F22*H22)*_xlfn.NORM.S.DIST(-M22,TRUE))),K22*L22*(E22-J22)+IF(UPPER(Trades!$M20)="AVERAGE",0,N(Trades!$O20))-K22*L22*J22*N(Trades!$L20)*H22*365/360*EXP(-I22*H22/2)))</f>
        <v/>
      </c>
      <c r="O22" s="14" t="str">
        <f>IF(A22="","",SUMIFS(LegMTM!$F:$F,LegMTM!$B:$B,A22,LegMTM!$C:$C,B22))</f>
        <v/>
      </c>
      <c r="P22" s="14" t="str">
        <f>IF(A22="","",N22-O22)</f>
        <v/>
      </c>
      <c r="Q22" s="14" t="str">
        <f>IF(A22="","",IF($B$1&gt;=H22,0,IF(C22="OPTION",IF(K22&gt;0,N22*EXP(I22*$B$1),0),IF(OR(UPPER(Trades!$J20)="",UPPER(Trades!$J20)="NONE"),IF(K22&gt;0,L22*((E22*EXP((I22-F22)*$B$1))*_xlfn.NORM.S.DIST(((LN(E22/J22)-F22*$B$1+G22^2/2*$B$1)/(G22*SQRT($B$1))),TRUE)-(J22*EXP(I22*$B$1))*_xlfn.NORM.S.DIST(((LN(E22/J22)-F22*$B$1+G22^2/2*$B$1)/(G22*SQRT($B$1)))-G22*SQRT($B$1),TRUE)),L22*((J22*EXP(I22*$B$1))*_xlfn.NORM.S.DIST(-(((LN(E22/J22)-F22*$B$1+G22^2/2*$B$1)/(G22*SQRT($B$1)))-G22*SQRT($B$1)),TRUE)-(E22*EXP((I22-F22)*$B$1))*_xlfn.NORM.S.DIST(-((LN(E22/J22)-F22*$B$1+G22^2/2*$B$1)/(G22*SQRT($B$1))),TRUE))),"reset: see AnalyticCheck"))))</f>
        <v/>
      </c>
    </row>
    <row r="23" spans="1:17" x14ac:dyDescent="0.35">
      <c r="A23" t="str">
        <f>IF(Trades!$A21="","",Trades!$A21)</f>
        <v/>
      </c>
      <c r="B23" t="str">
        <f>IF(A23="","",Trades!$C21)</f>
        <v/>
      </c>
      <c r="C23" t="str">
        <f>IF(A23="","",UPPER(Trades!$D21))</f>
        <v/>
      </c>
      <c r="D23" t="str">
        <f>IF(A23="","",Trades!$E21)</f>
        <v/>
      </c>
      <c r="E23" s="13" t="str">
        <f>IF(A23="","",INDEX(Market!$J:$J,MATCH(D23,Market!$A:$A,0)))</f>
        <v/>
      </c>
      <c r="F23" s="13" t="str">
        <f>IF(A23="","",INDEX(Market!$K:$K,MATCH(D23,Market!$A:$A,0)))</f>
        <v/>
      </c>
      <c r="G23" s="13" t="str">
        <f>IF(A23="","",IF(AND(C23="OPTION",Trades!$T21&lt;&gt;""),Trades!$T21,INDEX(Market!$L:$L,MATCH(D23,Market!$A:$A,0))))</f>
        <v/>
      </c>
      <c r="H23" s="13" t="str">
        <f>IF(A23="","",IF(ISNUMBER(IF(C23="OPTION",Trades!$S21,Trades!$I21)),(IF(C23="OPTION",Trades!$S21,Trades!$I21)-Config!$B$2)/365,VALUE(LEFT(IF(C23="OPTION",Trades!$S21,Trades!$I21),LEN(IF(C23="OPTION",Trades!$S21,Trades!$I21))-1))*CHOOSE(MATCH(RIGHT(IF(C23="OPTION",Trades!$S21,Trades!$I21),1),{"D","W","M","Y"},0),1/365,7/365,1/12,1)))</f>
        <v/>
      </c>
      <c r="I23" s="13" t="str">
        <f>IF(A23="","",IFERROR(LOOKUP(2,1/((Curve!$G$2:$G$200=IF(IFERROR(INDEX(Market!$M:$M,MATCH(D23,Market!$A:$A,0))&amp;"","")="",IFERROR(VLOOKUP("reporting_ccy",Config!$A:$B,2,FALSE),""),INDEX(Market!$M:$M,MATCH(D23,Market!$A:$A,0))))*(Curve!$F$2:$F$200&lt;=H23)),Curve!$E$2:$E$200),IFERROR(INDEX(Curve!$E:$E,MATCH(IF(IFERROR(INDEX(Market!$M:$M,MATCH(D23,Market!$A:$A,0))&amp;"","")="",IFERROR(VLOOKUP("reporting_ccy",Config!$A:$B,2,FALSE),""),INDEX(Market!$M:$M,MATCH(D23,Market!$A:$A,0))),Curve!$G:$G,0)),Curve!$E$2)))</f>
        <v/>
      </c>
      <c r="J23" s="13" t="str">
        <f>IF(A23="","",IF(C23="OPTION",IF(ISNUMBER(Trades!$R21),Trades!$R21,IF(RIGHT(Trades!$R21,1)="%",VALUE(SUBSTITUTE(Trades!$R21,"%",""))/100*E23,VALUE(Trades!$R21))),IF(UPPER(Trades!$M21)="AVERAGE",Trades!$N21,E23)))</f>
        <v/>
      </c>
      <c r="K23" s="13" t="str">
        <f>IF(A23="","",IF(OR(UPPER(Trades!$F21)="BUY",UPPER(Trades!$F21)="RECEIVE_EQUITY"),1,-1))</f>
        <v/>
      </c>
      <c r="L23" s="13" t="str">
        <f>IF(A23="","",Trades!$G21)</f>
        <v/>
      </c>
      <c r="M23" s="13" t="str">
        <f>IF(A23="","",(LN(E23/J23)+(I23-F23+G23^2/2)*H23)/(G23*SQRT(H23)))</f>
        <v/>
      </c>
      <c r="N23" s="14" t="str">
        <f>IF(A23="","",IF(C23="OPTION",K23*L23*IF(LEFT(UPPER(Trades!$Q21),1)="C",(E23*EXP(-F23*H23)*_xlfn.NORM.S.DIST(M23,TRUE)-J23*EXP(-I23*H23)*_xlfn.NORM.S.DIST(M23-G23*SQRT(H23),TRUE)),(J23*EXP(-I23*H23)*_xlfn.NORM.S.DIST(-(M23-G23*SQRT(H23)),TRUE)-E23*EXP(-F23*H23)*_xlfn.NORM.S.DIST(-M23,TRUE))),K23*L23*(E23-J23)+IF(UPPER(Trades!$M21)="AVERAGE",0,N(Trades!$O21))-K23*L23*J23*N(Trades!$L21)*H23*365/360*EXP(-I23*H23/2)))</f>
        <v/>
      </c>
      <c r="O23" s="14" t="str">
        <f>IF(A23="","",SUMIFS(LegMTM!$F:$F,LegMTM!$B:$B,A23,LegMTM!$C:$C,B23))</f>
        <v/>
      </c>
      <c r="P23" s="14" t="str">
        <f>IF(A23="","",N23-O23)</f>
        <v/>
      </c>
      <c r="Q23" s="14" t="str">
        <f>IF(A23="","",IF($B$1&gt;=H23,0,IF(C23="OPTION",IF(K23&gt;0,N23*EXP(I23*$B$1),0),IF(OR(UPPER(Trades!$J21)="",UPPER(Trades!$J21)="NONE"),IF(K23&gt;0,L23*((E23*EXP((I23-F23)*$B$1))*_xlfn.NORM.S.DIST(((LN(E23/J23)-F23*$B$1+G23^2/2*$B$1)/(G23*SQRT($B$1))),TRUE)-(J23*EXP(I23*$B$1))*_xlfn.NORM.S.DIST(((LN(E23/J23)-F23*$B$1+G23^2/2*$B$1)/(G23*SQRT($B$1)))-G23*SQRT($B$1),TRUE)),L23*((J23*EXP(I23*$B$1))*_xlfn.NORM.S.DIST(-(((LN(E23/J23)-F23*$B$1+G23^2/2*$B$1)/(G23*SQRT($B$1)))-G23*SQRT($B$1)),TRUE)-(E23*EXP((I23-F23)*$B$1))*_xlfn.NORM.S.DIST(-((LN(E23/J23)-F23*$B$1+G23^2/2*$B$1)/(G23*SQRT($B$1))),TRUE))),"reset: see AnalyticCheck"))))</f>
        <v/>
      </c>
    </row>
    <row r="24" spans="1:17" x14ac:dyDescent="0.35">
      <c r="A24" t="str">
        <f>IF(Trades!$A22="","",Trades!$A22)</f>
        <v/>
      </c>
      <c r="B24" t="str">
        <f>IF(A24="","",Trades!$C22)</f>
        <v/>
      </c>
      <c r="C24" t="str">
        <f>IF(A24="","",UPPER(Trades!$D22))</f>
        <v/>
      </c>
      <c r="D24" t="str">
        <f>IF(A24="","",Trades!$E22)</f>
        <v/>
      </c>
      <c r="E24" s="13" t="str">
        <f>IF(A24="","",INDEX(Market!$J:$J,MATCH(D24,Market!$A:$A,0)))</f>
        <v/>
      </c>
      <c r="F24" s="13" t="str">
        <f>IF(A24="","",INDEX(Market!$K:$K,MATCH(D24,Market!$A:$A,0)))</f>
        <v/>
      </c>
      <c r="G24" s="13" t="str">
        <f>IF(A24="","",IF(AND(C24="OPTION",Trades!$T22&lt;&gt;""),Trades!$T22,INDEX(Market!$L:$L,MATCH(D24,Market!$A:$A,0))))</f>
        <v/>
      </c>
      <c r="H24" s="13" t="str">
        <f>IF(A24="","",IF(ISNUMBER(IF(C24="OPTION",Trades!$S22,Trades!$I22)),(IF(C24="OPTION",Trades!$S22,Trades!$I22)-Config!$B$2)/365,VALUE(LEFT(IF(C24="OPTION",Trades!$S22,Trades!$I22),LEN(IF(C24="OPTION",Trades!$S22,Trades!$I22))-1))*CHOOSE(MATCH(RIGHT(IF(C24="OPTION",Trades!$S22,Trades!$I22),1),{"D","W","M","Y"},0),1/365,7/365,1/12,1)))</f>
        <v/>
      </c>
      <c r="I24" s="13" t="str">
        <f>IF(A24="","",IFERROR(LOOKUP(2,1/((Curve!$G$2:$G$200=IF(IFERROR(INDEX(Market!$M:$M,MATCH(D24,Market!$A:$A,0))&amp;"","")="",IFERROR(VLOOKUP("reporting_ccy",Config!$A:$B,2,FALSE),""),INDEX(Market!$M:$M,MATCH(D24,Market!$A:$A,0))))*(Curve!$F$2:$F$200&lt;=H24)),Curve!$E$2:$E$200),IFERROR(INDEX(Curve!$E:$E,MATCH(IF(IFERROR(INDEX(Market!$M:$M,MATCH(D24,Market!$A:$A,0))&amp;"","")="",IFERROR(VLOOKUP("reporting_ccy",Config!$A:$B,2,FALSE),""),INDEX(Market!$M:$M,MATCH(D24,Market!$A:$A,0))),Curve!$G:$G,0)),Curve!$E$2)))</f>
        <v/>
      </c>
      <c r="J24" s="13" t="str">
        <f>IF(A24="","",IF(C24="OPTION",IF(ISNUMBER(Trades!$R22),Trades!$R22,IF(RIGHT(Trades!$R22,1)="%",VALUE(SUBSTITUTE(Trades!$R22,"%",""))/100*E24,VALUE(Trades!$R22))),IF(UPPER(Trades!$M22)="AVERAGE",Trades!$N22,E24)))</f>
        <v/>
      </c>
      <c r="K24" s="13" t="str">
        <f>IF(A24="","",IF(OR(UPPER(Trades!$F22)="BUY",UPPER(Trades!$F22)="RECEIVE_EQUITY"),1,-1))</f>
        <v/>
      </c>
      <c r="L24" s="13" t="str">
        <f>IF(A24="","",Trades!$G22)</f>
        <v/>
      </c>
      <c r="M24" s="13" t="str">
        <f>IF(A24="","",(LN(E24/J24)+(I24-F24+G24^2/2)*H24)/(G24*SQRT(H24)))</f>
        <v/>
      </c>
      <c r="N24" s="14" t="str">
        <f>IF(A24="","",IF(C24="OPTION",K24*L24*IF(LEFT(UPPER(Trades!$Q22),1)="C",(E24*EXP(-F24*H24)*_xlfn.NORM.S.DIST(M24,TRUE)-J24*EXP(-I24*H24)*_xlfn.NORM.S.DIST(M24-G24*SQRT(H24),TRUE)),(J24*EXP(-I24*H24)*_xlfn.NORM.S.DIST(-(M24-G24*SQRT(H24)),TRUE)-E24*EXP(-F24*H24)*_xlfn.NORM.S.DIST(-M24,TRUE))),K24*L24*(E24-J24)+IF(UPPER(Trades!$M22)="AVERAGE",0,N(Trades!$O22))-K24*L24*J24*N(Trades!$L22)*H24*365/360*EXP(-I24*H24/2)))</f>
        <v/>
      </c>
      <c r="O24" s="14" t="str">
        <f>IF(A24="","",SUMIFS(LegMTM!$F:$F,LegMTM!$B:$B,A24,LegMTM!$C:$C,B24))</f>
        <v/>
      </c>
      <c r="P24" s="14" t="str">
        <f>IF(A24="","",N24-O24)</f>
        <v/>
      </c>
      <c r="Q24" s="14" t="str">
        <f>IF(A24="","",IF($B$1&gt;=H24,0,IF(C24="OPTION",IF(K24&gt;0,N24*EXP(I24*$B$1),0),IF(OR(UPPER(Trades!$J22)="",UPPER(Trades!$J22)="NONE"),IF(K24&gt;0,L24*((E24*EXP((I24-F24)*$B$1))*_xlfn.NORM.S.DIST(((LN(E24/J24)-F24*$B$1+G24^2/2*$B$1)/(G24*SQRT($B$1))),TRUE)-(J24*EXP(I24*$B$1))*_xlfn.NORM.S.DIST(((LN(E24/J24)-F24*$B$1+G24^2/2*$B$1)/(G24*SQRT($B$1)))-G24*SQRT($B$1),TRUE)),L24*((J24*EXP(I24*$B$1))*_xlfn.NORM.S.DIST(-(((LN(E24/J24)-F24*$B$1+G24^2/2*$B$1)/(G24*SQRT($B$1)))-G24*SQRT($B$1)),TRUE)-(E24*EXP((I24-F24)*$B$1))*_xlfn.NORM.S.DIST(-((LN(E24/J24)-F24*$B$1+G24^2/2*$B$1)/(G24*SQRT($B$1))),TRUE))),"reset: see AnalyticCheck"))))</f>
        <v/>
      </c>
    </row>
    <row r="25" spans="1:17" x14ac:dyDescent="0.35">
      <c r="A25" t="str">
        <f>IF(Trades!$A23="","",Trades!$A23)</f>
        <v/>
      </c>
      <c r="B25" t="str">
        <f>IF(A25="","",Trades!$C23)</f>
        <v/>
      </c>
      <c r="C25" t="str">
        <f>IF(A25="","",UPPER(Trades!$D23))</f>
        <v/>
      </c>
      <c r="D25" t="str">
        <f>IF(A25="","",Trades!$E23)</f>
        <v/>
      </c>
      <c r="E25" s="13" t="str">
        <f>IF(A25="","",INDEX(Market!$J:$J,MATCH(D25,Market!$A:$A,0)))</f>
        <v/>
      </c>
      <c r="F25" s="13" t="str">
        <f>IF(A25="","",INDEX(Market!$K:$K,MATCH(D25,Market!$A:$A,0)))</f>
        <v/>
      </c>
      <c r="G25" s="13" t="str">
        <f>IF(A25="","",IF(AND(C25="OPTION",Trades!$T23&lt;&gt;""),Trades!$T23,INDEX(Market!$L:$L,MATCH(D25,Market!$A:$A,0))))</f>
        <v/>
      </c>
      <c r="H25" s="13" t="str">
        <f>IF(A25="","",IF(ISNUMBER(IF(C25="OPTION",Trades!$S23,Trades!$I23)),(IF(C25="OPTION",Trades!$S23,Trades!$I23)-Config!$B$2)/365,VALUE(LEFT(IF(C25="OPTION",Trades!$S23,Trades!$I23),LEN(IF(C25="OPTION",Trades!$S23,Trades!$I23))-1))*CHOOSE(MATCH(RIGHT(IF(C25="OPTION",Trades!$S23,Trades!$I23),1),{"D","W","M","Y"},0),1/365,7/365,1/12,1)))</f>
        <v/>
      </c>
      <c r="I25" s="13" t="str">
        <f>IF(A25="","",IFERROR(LOOKUP(2,1/((Curve!$G$2:$G$200=IF(IFERROR(INDEX(Market!$M:$M,MATCH(D25,Market!$A:$A,0))&amp;"","")="",IFERROR(VLOOKUP("reporting_ccy",Config!$A:$B,2,FALSE),""),INDEX(Market!$M:$M,MATCH(D25,Market!$A:$A,0))))*(Curve!$F$2:$F$200&lt;=H25)),Curve!$E$2:$E$200),IFERROR(INDEX(Curve!$E:$E,MATCH(IF(IFERROR(INDEX(Market!$M:$M,MATCH(D25,Market!$A:$A,0))&amp;"","")="",IFERROR(VLOOKUP("reporting_ccy",Config!$A:$B,2,FALSE),""),INDEX(Market!$M:$M,MATCH(D25,Market!$A:$A,0))),Curve!$G:$G,0)),Curve!$E$2)))</f>
        <v/>
      </c>
      <c r="J25" s="13" t="str">
        <f>IF(A25="","",IF(C25="OPTION",IF(ISNUMBER(Trades!$R23),Trades!$R23,IF(RIGHT(Trades!$R23,1)="%",VALUE(SUBSTITUTE(Trades!$R23,"%",""))/100*E25,VALUE(Trades!$R23))),IF(UPPER(Trades!$M23)="AVERAGE",Trades!$N23,E25)))</f>
        <v/>
      </c>
      <c r="K25" s="13" t="str">
        <f>IF(A25="","",IF(OR(UPPER(Trades!$F23)="BUY",UPPER(Trades!$F23)="RECEIVE_EQUITY"),1,-1))</f>
        <v/>
      </c>
      <c r="L25" s="13" t="str">
        <f>IF(A25="","",Trades!$G23)</f>
        <v/>
      </c>
      <c r="M25" s="13" t="str">
        <f>IF(A25="","",(LN(E25/J25)+(I25-F25+G25^2/2)*H25)/(G25*SQRT(H25)))</f>
        <v/>
      </c>
      <c r="N25" s="14" t="str">
        <f>IF(A25="","",IF(C25="OPTION",K25*L25*IF(LEFT(UPPER(Trades!$Q23),1)="C",(E25*EXP(-F25*H25)*_xlfn.NORM.S.DIST(M25,TRUE)-J25*EXP(-I25*H25)*_xlfn.NORM.S.DIST(M25-G25*SQRT(H25),TRUE)),(J25*EXP(-I25*H25)*_xlfn.NORM.S.DIST(-(M25-G25*SQRT(H25)),TRUE)-E25*EXP(-F25*H25)*_xlfn.NORM.S.DIST(-M25,TRUE))),K25*L25*(E25-J25)+IF(UPPER(Trades!$M23)="AVERAGE",0,N(Trades!$O23))-K25*L25*J25*N(Trades!$L23)*H25*365/360*EXP(-I25*H25/2)))</f>
        <v/>
      </c>
      <c r="O25" s="14" t="str">
        <f>IF(A25="","",SUMIFS(LegMTM!$F:$F,LegMTM!$B:$B,A25,LegMTM!$C:$C,B25))</f>
        <v/>
      </c>
      <c r="P25" s="14" t="str">
        <f>IF(A25="","",N25-O25)</f>
        <v/>
      </c>
      <c r="Q25" s="14" t="str">
        <f>IF(A25="","",IF($B$1&gt;=H25,0,IF(C25="OPTION",IF(K25&gt;0,N25*EXP(I25*$B$1),0),IF(OR(UPPER(Trades!$J23)="",UPPER(Trades!$J23)="NONE"),IF(K25&gt;0,L25*((E25*EXP((I25-F25)*$B$1))*_xlfn.NORM.S.DIST(((LN(E25/J25)-F25*$B$1+G25^2/2*$B$1)/(G25*SQRT($B$1))),TRUE)-(J25*EXP(I25*$B$1))*_xlfn.NORM.S.DIST(((LN(E25/J25)-F25*$B$1+G25^2/2*$B$1)/(G25*SQRT($B$1)))-G25*SQRT($B$1),TRUE)),L25*((J25*EXP(I25*$B$1))*_xlfn.NORM.S.DIST(-(((LN(E25/J25)-F25*$B$1+G25^2/2*$B$1)/(G25*SQRT($B$1)))-G25*SQRT($B$1)),TRUE)-(E25*EXP((I25-F25)*$B$1))*_xlfn.NORM.S.DIST(-((LN(E25/J25)-F25*$B$1+G25^2/2*$B$1)/(G25*SQRT($B$1))),TRUE))),"reset: see AnalyticCheck"))))</f>
        <v/>
      </c>
    </row>
    <row r="26" spans="1:17" x14ac:dyDescent="0.35">
      <c r="A26" t="str">
        <f>IF(Trades!$A24="","",Trades!$A24)</f>
        <v/>
      </c>
      <c r="B26" t="str">
        <f>IF(A26="","",Trades!$C24)</f>
        <v/>
      </c>
      <c r="C26" t="str">
        <f>IF(A26="","",UPPER(Trades!$D24))</f>
        <v/>
      </c>
      <c r="D26" t="str">
        <f>IF(A26="","",Trades!$E24)</f>
        <v/>
      </c>
      <c r="E26" s="13" t="str">
        <f>IF(A26="","",INDEX(Market!$J:$J,MATCH(D26,Market!$A:$A,0)))</f>
        <v/>
      </c>
      <c r="F26" s="13" t="str">
        <f>IF(A26="","",INDEX(Market!$K:$K,MATCH(D26,Market!$A:$A,0)))</f>
        <v/>
      </c>
      <c r="G26" s="13" t="str">
        <f>IF(A26="","",IF(AND(C26="OPTION",Trades!$T24&lt;&gt;""),Trades!$T24,INDEX(Market!$L:$L,MATCH(D26,Market!$A:$A,0))))</f>
        <v/>
      </c>
      <c r="H26" s="13" t="str">
        <f>IF(A26="","",IF(ISNUMBER(IF(C26="OPTION",Trades!$S24,Trades!$I24)),(IF(C26="OPTION",Trades!$S24,Trades!$I24)-Config!$B$2)/365,VALUE(LEFT(IF(C26="OPTION",Trades!$S24,Trades!$I24),LEN(IF(C26="OPTION",Trades!$S24,Trades!$I24))-1))*CHOOSE(MATCH(RIGHT(IF(C26="OPTION",Trades!$S24,Trades!$I24),1),{"D","W","M","Y"},0),1/365,7/365,1/12,1)))</f>
        <v/>
      </c>
      <c r="I26" s="13" t="str">
        <f>IF(A26="","",IFERROR(LOOKUP(2,1/((Curve!$G$2:$G$200=IF(IFERROR(INDEX(Market!$M:$M,MATCH(D26,Market!$A:$A,0))&amp;"","")="",IFERROR(VLOOKUP("reporting_ccy",Config!$A:$B,2,FALSE),""),INDEX(Market!$M:$M,MATCH(D26,Market!$A:$A,0))))*(Curve!$F$2:$F$200&lt;=H26)),Curve!$E$2:$E$200),IFERROR(INDEX(Curve!$E:$E,MATCH(IF(IFERROR(INDEX(Market!$M:$M,MATCH(D26,Market!$A:$A,0))&amp;"","")="",IFERROR(VLOOKUP("reporting_ccy",Config!$A:$B,2,FALSE),""),INDEX(Market!$M:$M,MATCH(D26,Market!$A:$A,0))),Curve!$G:$G,0)),Curve!$E$2)))</f>
        <v/>
      </c>
      <c r="J26" s="13" t="str">
        <f>IF(A26="","",IF(C26="OPTION",IF(ISNUMBER(Trades!$R24),Trades!$R24,IF(RIGHT(Trades!$R24,1)="%",VALUE(SUBSTITUTE(Trades!$R24,"%",""))/100*E26,VALUE(Trades!$R24))),IF(UPPER(Trades!$M24)="AVERAGE",Trades!$N24,E26)))</f>
        <v/>
      </c>
      <c r="K26" s="13" t="str">
        <f>IF(A26="","",IF(OR(UPPER(Trades!$F24)="BUY",UPPER(Trades!$F24)="RECEIVE_EQUITY"),1,-1))</f>
        <v/>
      </c>
      <c r="L26" s="13" t="str">
        <f>IF(A26="","",Trades!$G24)</f>
        <v/>
      </c>
      <c r="M26" s="13" t="str">
        <f>IF(A26="","",(LN(E26/J26)+(I26-F26+G26^2/2)*H26)/(G26*SQRT(H26)))</f>
        <v/>
      </c>
      <c r="N26" s="14" t="str">
        <f>IF(A26="","",IF(C26="OPTION",K26*L26*IF(LEFT(UPPER(Trades!$Q24),1)="C",(E26*EXP(-F26*H26)*_xlfn.NORM.S.DIST(M26,TRUE)-J26*EXP(-I26*H26)*_xlfn.NORM.S.DIST(M26-G26*SQRT(H26),TRUE)),(J26*EXP(-I26*H26)*_xlfn.NORM.S.DIST(-(M26-G26*SQRT(H26)),TRUE)-E26*EXP(-F26*H26)*_xlfn.NORM.S.DIST(-M26,TRUE))),K26*L26*(E26-J26)+IF(UPPER(Trades!$M24)="AVERAGE",0,N(Trades!$O24))-K26*L26*J26*N(Trades!$L24)*H26*365/360*EXP(-I26*H26/2)))</f>
        <v/>
      </c>
      <c r="O26" s="14" t="str">
        <f>IF(A26="","",SUMIFS(LegMTM!$F:$F,LegMTM!$B:$B,A26,LegMTM!$C:$C,B26))</f>
        <v/>
      </c>
      <c r="P26" s="14" t="str">
        <f>IF(A26="","",N26-O26)</f>
        <v/>
      </c>
      <c r="Q26" s="14" t="str">
        <f>IF(A26="","",IF($B$1&gt;=H26,0,IF(C26="OPTION",IF(K26&gt;0,N26*EXP(I26*$B$1),0),IF(OR(UPPER(Trades!$J24)="",UPPER(Trades!$J24)="NONE"),IF(K26&gt;0,L26*((E26*EXP((I26-F26)*$B$1))*_xlfn.NORM.S.DIST(((LN(E26/J26)-F26*$B$1+G26^2/2*$B$1)/(G26*SQRT($B$1))),TRUE)-(J26*EXP(I26*$B$1))*_xlfn.NORM.S.DIST(((LN(E26/J26)-F26*$B$1+G26^2/2*$B$1)/(G26*SQRT($B$1)))-G26*SQRT($B$1),TRUE)),L26*((J26*EXP(I26*$B$1))*_xlfn.NORM.S.DIST(-(((LN(E26/J26)-F26*$B$1+G26^2/2*$B$1)/(G26*SQRT($B$1)))-G26*SQRT($B$1)),TRUE)-(E26*EXP((I26-F26)*$B$1))*_xlfn.NORM.S.DIST(-((LN(E26/J26)-F26*$B$1+G26^2/2*$B$1)/(G26*SQRT($B$1))),TRUE))),"reset: see AnalyticCheck"))))</f>
        <v/>
      </c>
    </row>
    <row r="27" spans="1:17" x14ac:dyDescent="0.35">
      <c r="A27" t="str">
        <f>IF(Trades!$A25="","",Trades!$A25)</f>
        <v/>
      </c>
      <c r="B27" t="str">
        <f>IF(A27="","",Trades!$C25)</f>
        <v/>
      </c>
      <c r="C27" t="str">
        <f>IF(A27="","",UPPER(Trades!$D25))</f>
        <v/>
      </c>
      <c r="D27" t="str">
        <f>IF(A27="","",Trades!$E25)</f>
        <v/>
      </c>
      <c r="E27" s="13" t="str">
        <f>IF(A27="","",INDEX(Market!$J:$J,MATCH(D27,Market!$A:$A,0)))</f>
        <v/>
      </c>
      <c r="F27" s="13" t="str">
        <f>IF(A27="","",INDEX(Market!$K:$K,MATCH(D27,Market!$A:$A,0)))</f>
        <v/>
      </c>
      <c r="G27" s="13" t="str">
        <f>IF(A27="","",IF(AND(C27="OPTION",Trades!$T25&lt;&gt;""),Trades!$T25,INDEX(Market!$L:$L,MATCH(D27,Market!$A:$A,0))))</f>
        <v/>
      </c>
      <c r="H27" s="13" t="str">
        <f>IF(A27="","",IF(ISNUMBER(IF(C27="OPTION",Trades!$S25,Trades!$I25)),(IF(C27="OPTION",Trades!$S25,Trades!$I25)-Config!$B$2)/365,VALUE(LEFT(IF(C27="OPTION",Trades!$S25,Trades!$I25),LEN(IF(C27="OPTION",Trades!$S25,Trades!$I25))-1))*CHOOSE(MATCH(RIGHT(IF(C27="OPTION",Trades!$S25,Trades!$I25),1),{"D","W","M","Y"},0),1/365,7/365,1/12,1)))</f>
        <v/>
      </c>
      <c r="I27" s="13" t="str">
        <f>IF(A27="","",IFERROR(LOOKUP(2,1/((Curve!$G$2:$G$200=IF(IFERROR(INDEX(Market!$M:$M,MATCH(D27,Market!$A:$A,0))&amp;"","")="",IFERROR(VLOOKUP("reporting_ccy",Config!$A:$B,2,FALSE),""),INDEX(Market!$M:$M,MATCH(D27,Market!$A:$A,0))))*(Curve!$F$2:$F$200&lt;=H27)),Curve!$E$2:$E$200),IFERROR(INDEX(Curve!$E:$E,MATCH(IF(IFERROR(INDEX(Market!$M:$M,MATCH(D27,Market!$A:$A,0))&amp;"","")="",IFERROR(VLOOKUP("reporting_ccy",Config!$A:$B,2,FALSE),""),INDEX(Market!$M:$M,MATCH(D27,Market!$A:$A,0))),Curve!$G:$G,0)),Curve!$E$2)))</f>
        <v/>
      </c>
      <c r="J27" s="13" t="str">
        <f>IF(A27="","",IF(C27="OPTION",IF(ISNUMBER(Trades!$R25),Trades!$R25,IF(RIGHT(Trades!$R25,1)="%",VALUE(SUBSTITUTE(Trades!$R25,"%",""))/100*E27,VALUE(Trades!$R25))),IF(UPPER(Trades!$M25)="AVERAGE",Trades!$N25,E27)))</f>
        <v/>
      </c>
      <c r="K27" s="13" t="str">
        <f>IF(A27="","",IF(OR(UPPER(Trades!$F25)="BUY",UPPER(Trades!$F25)="RECEIVE_EQUITY"),1,-1))</f>
        <v/>
      </c>
      <c r="L27" s="13" t="str">
        <f>IF(A27="","",Trades!$G25)</f>
        <v/>
      </c>
      <c r="M27" s="13" t="str">
        <f>IF(A27="","",(LN(E27/J27)+(I27-F27+G27^2/2)*H27)/(G27*SQRT(H27)))</f>
        <v/>
      </c>
      <c r="N27" s="14" t="str">
        <f>IF(A27="","",IF(C27="OPTION",K27*L27*IF(LEFT(UPPER(Trades!$Q25),1)="C",(E27*EXP(-F27*H27)*_xlfn.NORM.S.DIST(M27,TRUE)-J27*EXP(-I27*H27)*_xlfn.NORM.S.DIST(M27-G27*SQRT(H27),TRUE)),(J27*EXP(-I27*H27)*_xlfn.NORM.S.DIST(-(M27-G27*SQRT(H27)),TRUE)-E27*EXP(-F27*H27)*_xlfn.NORM.S.DIST(-M27,TRUE))),K27*L27*(E27-J27)+IF(UPPER(Trades!$M25)="AVERAGE",0,N(Trades!$O25))-K27*L27*J27*N(Trades!$L25)*H27*365/360*EXP(-I27*H27/2)))</f>
        <v/>
      </c>
      <c r="O27" s="14" t="str">
        <f>IF(A27="","",SUMIFS(LegMTM!$F:$F,LegMTM!$B:$B,A27,LegMTM!$C:$C,B27))</f>
        <v/>
      </c>
      <c r="P27" s="14" t="str">
        <f>IF(A27="","",N27-O27)</f>
        <v/>
      </c>
      <c r="Q27" s="14" t="str">
        <f>IF(A27="","",IF($B$1&gt;=H27,0,IF(C27="OPTION",IF(K27&gt;0,N27*EXP(I27*$B$1),0),IF(OR(UPPER(Trades!$J25)="",UPPER(Trades!$J25)="NONE"),IF(K27&gt;0,L27*((E27*EXP((I27-F27)*$B$1))*_xlfn.NORM.S.DIST(((LN(E27/J27)-F27*$B$1+G27^2/2*$B$1)/(G27*SQRT($B$1))),TRUE)-(J27*EXP(I27*$B$1))*_xlfn.NORM.S.DIST(((LN(E27/J27)-F27*$B$1+G27^2/2*$B$1)/(G27*SQRT($B$1)))-G27*SQRT($B$1),TRUE)),L27*((J27*EXP(I27*$B$1))*_xlfn.NORM.S.DIST(-(((LN(E27/J27)-F27*$B$1+G27^2/2*$B$1)/(G27*SQRT($B$1)))-G27*SQRT($B$1)),TRUE)-(E27*EXP((I27-F27)*$B$1))*_xlfn.NORM.S.DIST(-((LN(E27/J27)-F27*$B$1+G27^2/2*$B$1)/(G27*SQRT($B$1))),TRUE))),"reset: see AnalyticCheck"))))</f>
        <v/>
      </c>
    </row>
    <row r="28" spans="1:17" x14ac:dyDescent="0.35">
      <c r="A28" t="str">
        <f>IF(Trades!$A26="","",Trades!$A26)</f>
        <v/>
      </c>
      <c r="B28" t="str">
        <f>IF(A28="","",Trades!$C26)</f>
        <v/>
      </c>
      <c r="C28" t="str">
        <f>IF(A28="","",UPPER(Trades!$D26))</f>
        <v/>
      </c>
      <c r="D28" t="str">
        <f>IF(A28="","",Trades!$E26)</f>
        <v/>
      </c>
      <c r="E28" s="13" t="str">
        <f>IF(A28="","",INDEX(Market!$J:$J,MATCH(D28,Market!$A:$A,0)))</f>
        <v/>
      </c>
      <c r="F28" s="13" t="str">
        <f>IF(A28="","",INDEX(Market!$K:$K,MATCH(D28,Market!$A:$A,0)))</f>
        <v/>
      </c>
      <c r="G28" s="13" t="str">
        <f>IF(A28="","",IF(AND(C28="OPTION",Trades!$T26&lt;&gt;""),Trades!$T26,INDEX(Market!$L:$L,MATCH(D28,Market!$A:$A,0))))</f>
        <v/>
      </c>
      <c r="H28" s="13" t="str">
        <f>IF(A28="","",IF(ISNUMBER(IF(C28="OPTION",Trades!$S26,Trades!$I26)),(IF(C28="OPTION",Trades!$S26,Trades!$I26)-Config!$B$2)/365,VALUE(LEFT(IF(C28="OPTION",Trades!$S26,Trades!$I26),LEN(IF(C28="OPTION",Trades!$S26,Trades!$I26))-1))*CHOOSE(MATCH(RIGHT(IF(C28="OPTION",Trades!$S26,Trades!$I26),1),{"D","W","M","Y"},0),1/365,7/365,1/12,1)))</f>
        <v/>
      </c>
      <c r="I28" s="13" t="str">
        <f>IF(A28="","",IFERROR(LOOKUP(2,1/((Curve!$G$2:$G$200=IF(IFERROR(INDEX(Market!$M:$M,MATCH(D28,Market!$A:$A,0))&amp;"","")="",IFERROR(VLOOKUP("reporting_ccy",Config!$A:$B,2,FALSE),""),INDEX(Market!$M:$M,MATCH(D28,Market!$A:$A,0))))*(Curve!$F$2:$F$200&lt;=H28)),Curve!$E$2:$E$200),IFERROR(INDEX(Curve!$E:$E,MATCH(IF(IFERROR(INDEX(Market!$M:$M,MATCH(D28,Market!$A:$A,0))&amp;"","")="",IFERROR(VLOOKUP("reporting_ccy",Config!$A:$B,2,FALSE),""),INDEX(Market!$M:$M,MATCH(D28,Market!$A:$A,0))),Curve!$G:$G,0)),Curve!$E$2)))</f>
        <v/>
      </c>
      <c r="J28" s="13" t="str">
        <f>IF(A28="","",IF(C28="OPTION",IF(ISNUMBER(Trades!$R26),Trades!$R26,IF(RIGHT(Trades!$R26,1)="%",VALUE(SUBSTITUTE(Trades!$R26,"%",""))/100*E28,VALUE(Trades!$R26))),IF(UPPER(Trades!$M26)="AVERAGE",Trades!$N26,E28)))</f>
        <v/>
      </c>
      <c r="K28" s="13" t="str">
        <f>IF(A28="","",IF(OR(UPPER(Trades!$F26)="BUY",UPPER(Trades!$F26)="RECEIVE_EQUITY"),1,-1))</f>
        <v/>
      </c>
      <c r="L28" s="13" t="str">
        <f>IF(A28="","",Trades!$G26)</f>
        <v/>
      </c>
      <c r="M28" s="13" t="str">
        <f>IF(A28="","",(LN(E28/J28)+(I28-F28+G28^2/2)*H28)/(G28*SQRT(H28)))</f>
        <v/>
      </c>
      <c r="N28" s="14" t="str">
        <f>IF(A28="","",IF(C28="OPTION",K28*L28*IF(LEFT(UPPER(Trades!$Q26),1)="C",(E28*EXP(-F28*H28)*_xlfn.NORM.S.DIST(M28,TRUE)-J28*EXP(-I28*H28)*_xlfn.NORM.S.DIST(M28-G28*SQRT(H28),TRUE)),(J28*EXP(-I28*H28)*_xlfn.NORM.S.DIST(-(M28-G28*SQRT(H28)),TRUE)-E28*EXP(-F28*H28)*_xlfn.NORM.S.DIST(-M28,TRUE))),K28*L28*(E28-J28)+IF(UPPER(Trades!$M26)="AVERAGE",0,N(Trades!$O26))-K28*L28*J28*N(Trades!$L26)*H28*365/360*EXP(-I28*H28/2)))</f>
        <v/>
      </c>
      <c r="O28" s="14" t="str">
        <f>IF(A28="","",SUMIFS(LegMTM!$F:$F,LegMTM!$B:$B,A28,LegMTM!$C:$C,B28))</f>
        <v/>
      </c>
      <c r="P28" s="14" t="str">
        <f>IF(A28="","",N28-O28)</f>
        <v/>
      </c>
      <c r="Q28" s="14" t="str">
        <f>IF(A28="","",IF($B$1&gt;=H28,0,IF(C28="OPTION",IF(K28&gt;0,N28*EXP(I28*$B$1),0),IF(OR(UPPER(Trades!$J26)="",UPPER(Trades!$J26)="NONE"),IF(K28&gt;0,L28*((E28*EXP((I28-F28)*$B$1))*_xlfn.NORM.S.DIST(((LN(E28/J28)-F28*$B$1+G28^2/2*$B$1)/(G28*SQRT($B$1))),TRUE)-(J28*EXP(I28*$B$1))*_xlfn.NORM.S.DIST(((LN(E28/J28)-F28*$B$1+G28^2/2*$B$1)/(G28*SQRT($B$1)))-G28*SQRT($B$1),TRUE)),L28*((J28*EXP(I28*$B$1))*_xlfn.NORM.S.DIST(-(((LN(E28/J28)-F28*$B$1+G28^2/2*$B$1)/(G28*SQRT($B$1)))-G28*SQRT($B$1)),TRUE)-(E28*EXP((I28-F28)*$B$1))*_xlfn.NORM.S.DIST(-((LN(E28/J28)-F28*$B$1+G28^2/2*$B$1)/(G28*SQRT($B$1))),TRUE))),"reset: see AnalyticCheck"))))</f>
        <v/>
      </c>
    </row>
    <row r="29" spans="1:17" x14ac:dyDescent="0.35">
      <c r="A29" t="str">
        <f>IF(Trades!$A27="","",Trades!$A27)</f>
        <v/>
      </c>
      <c r="B29" t="str">
        <f>IF(A29="","",Trades!$C27)</f>
        <v/>
      </c>
      <c r="C29" t="str">
        <f>IF(A29="","",UPPER(Trades!$D27))</f>
        <v/>
      </c>
      <c r="D29" t="str">
        <f>IF(A29="","",Trades!$E27)</f>
        <v/>
      </c>
      <c r="E29" s="13" t="str">
        <f>IF(A29="","",INDEX(Market!$J:$J,MATCH(D29,Market!$A:$A,0)))</f>
        <v/>
      </c>
      <c r="F29" s="13" t="str">
        <f>IF(A29="","",INDEX(Market!$K:$K,MATCH(D29,Market!$A:$A,0)))</f>
        <v/>
      </c>
      <c r="G29" s="13" t="str">
        <f>IF(A29="","",IF(AND(C29="OPTION",Trades!$T27&lt;&gt;""),Trades!$T27,INDEX(Market!$L:$L,MATCH(D29,Market!$A:$A,0))))</f>
        <v/>
      </c>
      <c r="H29" s="13" t="str">
        <f>IF(A29="","",IF(ISNUMBER(IF(C29="OPTION",Trades!$S27,Trades!$I27)),(IF(C29="OPTION",Trades!$S27,Trades!$I27)-Config!$B$2)/365,VALUE(LEFT(IF(C29="OPTION",Trades!$S27,Trades!$I27),LEN(IF(C29="OPTION",Trades!$S27,Trades!$I27))-1))*CHOOSE(MATCH(RIGHT(IF(C29="OPTION",Trades!$S27,Trades!$I27),1),{"D","W","M","Y"},0),1/365,7/365,1/12,1)))</f>
        <v/>
      </c>
      <c r="I29" s="13" t="str">
        <f>IF(A29="","",IFERROR(LOOKUP(2,1/((Curve!$G$2:$G$200=IF(IFERROR(INDEX(Market!$M:$M,MATCH(D29,Market!$A:$A,0))&amp;"","")="",IFERROR(VLOOKUP("reporting_ccy",Config!$A:$B,2,FALSE),""),INDEX(Market!$M:$M,MATCH(D29,Market!$A:$A,0))))*(Curve!$F$2:$F$200&lt;=H29)),Curve!$E$2:$E$200),IFERROR(INDEX(Curve!$E:$E,MATCH(IF(IFERROR(INDEX(Market!$M:$M,MATCH(D29,Market!$A:$A,0))&amp;"","")="",IFERROR(VLOOKUP("reporting_ccy",Config!$A:$B,2,FALSE),""),INDEX(Market!$M:$M,MATCH(D29,Market!$A:$A,0))),Curve!$G:$G,0)),Curve!$E$2)))</f>
        <v/>
      </c>
      <c r="J29" s="13" t="str">
        <f>IF(A29="","",IF(C29="OPTION",IF(ISNUMBER(Trades!$R27),Trades!$R27,IF(RIGHT(Trades!$R27,1)="%",VALUE(SUBSTITUTE(Trades!$R27,"%",""))/100*E29,VALUE(Trades!$R27))),IF(UPPER(Trades!$M27)="AVERAGE",Trades!$N27,E29)))</f>
        <v/>
      </c>
      <c r="K29" s="13" t="str">
        <f>IF(A29="","",IF(OR(UPPER(Trades!$F27)="BUY",UPPER(Trades!$F27)="RECEIVE_EQUITY"),1,-1))</f>
        <v/>
      </c>
      <c r="L29" s="13" t="str">
        <f>IF(A29="","",Trades!$G27)</f>
        <v/>
      </c>
      <c r="M29" s="13" t="str">
        <f>IF(A29="","",(LN(E29/J29)+(I29-F29+G29^2/2)*H29)/(G29*SQRT(H29)))</f>
        <v/>
      </c>
      <c r="N29" s="14" t="str">
        <f>IF(A29="","",IF(C29="OPTION",K29*L29*IF(LEFT(UPPER(Trades!$Q27),1)="C",(E29*EXP(-F29*H29)*_xlfn.NORM.S.DIST(M29,TRUE)-J29*EXP(-I29*H29)*_xlfn.NORM.S.DIST(M29-G29*SQRT(H29),TRUE)),(J29*EXP(-I29*H29)*_xlfn.NORM.S.DIST(-(M29-G29*SQRT(H29)),TRUE)-E29*EXP(-F29*H29)*_xlfn.NORM.S.DIST(-M29,TRUE))),K29*L29*(E29-J29)+IF(UPPER(Trades!$M27)="AVERAGE",0,N(Trades!$O27))-K29*L29*J29*N(Trades!$L27)*H29*365/360*EXP(-I29*H29/2)))</f>
        <v/>
      </c>
      <c r="O29" s="14" t="str">
        <f>IF(A29="","",SUMIFS(LegMTM!$F:$F,LegMTM!$B:$B,A29,LegMTM!$C:$C,B29))</f>
        <v/>
      </c>
      <c r="P29" s="14" t="str">
        <f>IF(A29="","",N29-O29)</f>
        <v/>
      </c>
      <c r="Q29" s="14" t="str">
        <f>IF(A29="","",IF($B$1&gt;=H29,0,IF(C29="OPTION",IF(K29&gt;0,N29*EXP(I29*$B$1),0),IF(OR(UPPER(Trades!$J27)="",UPPER(Trades!$J27)="NONE"),IF(K29&gt;0,L29*((E29*EXP((I29-F29)*$B$1))*_xlfn.NORM.S.DIST(((LN(E29/J29)-F29*$B$1+G29^2/2*$B$1)/(G29*SQRT($B$1))),TRUE)-(J29*EXP(I29*$B$1))*_xlfn.NORM.S.DIST(((LN(E29/J29)-F29*$B$1+G29^2/2*$B$1)/(G29*SQRT($B$1)))-G29*SQRT($B$1),TRUE)),L29*((J29*EXP(I29*$B$1))*_xlfn.NORM.S.DIST(-(((LN(E29/J29)-F29*$B$1+G29^2/2*$B$1)/(G29*SQRT($B$1)))-G29*SQRT($B$1)),TRUE)-(E29*EXP((I29-F29)*$B$1))*_xlfn.NORM.S.DIST(-((LN(E29/J29)-F29*$B$1+G29^2/2*$B$1)/(G29*SQRT($B$1))),TRUE))),"reset: see AnalyticCheck"))))</f>
        <v/>
      </c>
    </row>
    <row r="30" spans="1:17" x14ac:dyDescent="0.35">
      <c r="A30" t="str">
        <f>IF(Trades!$A28="","",Trades!$A28)</f>
        <v/>
      </c>
      <c r="B30" t="str">
        <f>IF(A30="","",Trades!$C28)</f>
        <v/>
      </c>
      <c r="C30" t="str">
        <f>IF(A30="","",UPPER(Trades!$D28))</f>
        <v/>
      </c>
      <c r="D30" t="str">
        <f>IF(A30="","",Trades!$E28)</f>
        <v/>
      </c>
      <c r="E30" s="13" t="str">
        <f>IF(A30="","",INDEX(Market!$J:$J,MATCH(D30,Market!$A:$A,0)))</f>
        <v/>
      </c>
      <c r="F30" s="13" t="str">
        <f>IF(A30="","",INDEX(Market!$K:$K,MATCH(D30,Market!$A:$A,0)))</f>
        <v/>
      </c>
      <c r="G30" s="13" t="str">
        <f>IF(A30="","",IF(AND(C30="OPTION",Trades!$T28&lt;&gt;""),Trades!$T28,INDEX(Market!$L:$L,MATCH(D30,Market!$A:$A,0))))</f>
        <v/>
      </c>
      <c r="H30" s="13" t="str">
        <f>IF(A30="","",IF(ISNUMBER(IF(C30="OPTION",Trades!$S28,Trades!$I28)),(IF(C30="OPTION",Trades!$S28,Trades!$I28)-Config!$B$2)/365,VALUE(LEFT(IF(C30="OPTION",Trades!$S28,Trades!$I28),LEN(IF(C30="OPTION",Trades!$S28,Trades!$I28))-1))*CHOOSE(MATCH(RIGHT(IF(C30="OPTION",Trades!$S28,Trades!$I28),1),{"D","W","M","Y"},0),1/365,7/365,1/12,1)))</f>
        <v/>
      </c>
      <c r="I30" s="13" t="str">
        <f>IF(A30="","",IFERROR(LOOKUP(2,1/((Curve!$G$2:$G$200=IF(IFERROR(INDEX(Market!$M:$M,MATCH(D30,Market!$A:$A,0))&amp;"","")="",IFERROR(VLOOKUP("reporting_ccy",Config!$A:$B,2,FALSE),""),INDEX(Market!$M:$M,MATCH(D30,Market!$A:$A,0))))*(Curve!$F$2:$F$200&lt;=H30)),Curve!$E$2:$E$200),IFERROR(INDEX(Curve!$E:$E,MATCH(IF(IFERROR(INDEX(Market!$M:$M,MATCH(D30,Market!$A:$A,0))&amp;"","")="",IFERROR(VLOOKUP("reporting_ccy",Config!$A:$B,2,FALSE),""),INDEX(Market!$M:$M,MATCH(D30,Market!$A:$A,0))),Curve!$G:$G,0)),Curve!$E$2)))</f>
        <v/>
      </c>
      <c r="J30" s="13" t="str">
        <f>IF(A30="","",IF(C30="OPTION",IF(ISNUMBER(Trades!$R28),Trades!$R28,IF(RIGHT(Trades!$R28,1)="%",VALUE(SUBSTITUTE(Trades!$R28,"%",""))/100*E30,VALUE(Trades!$R28))),IF(UPPER(Trades!$M28)="AVERAGE",Trades!$N28,E30)))</f>
        <v/>
      </c>
      <c r="K30" s="13" t="str">
        <f>IF(A30="","",IF(OR(UPPER(Trades!$F28)="BUY",UPPER(Trades!$F28)="RECEIVE_EQUITY"),1,-1))</f>
        <v/>
      </c>
      <c r="L30" s="13" t="str">
        <f>IF(A30="","",Trades!$G28)</f>
        <v/>
      </c>
      <c r="M30" s="13" t="str">
        <f>IF(A30="","",(LN(E30/J30)+(I30-F30+G30^2/2)*H30)/(G30*SQRT(H30)))</f>
        <v/>
      </c>
      <c r="N30" s="14" t="str">
        <f>IF(A30="","",IF(C30="OPTION",K30*L30*IF(LEFT(UPPER(Trades!$Q28),1)="C",(E30*EXP(-F30*H30)*_xlfn.NORM.S.DIST(M30,TRUE)-J30*EXP(-I30*H30)*_xlfn.NORM.S.DIST(M30-G30*SQRT(H30),TRUE)),(J30*EXP(-I30*H30)*_xlfn.NORM.S.DIST(-(M30-G30*SQRT(H30)),TRUE)-E30*EXP(-F30*H30)*_xlfn.NORM.S.DIST(-M30,TRUE))),K30*L30*(E30-J30)+IF(UPPER(Trades!$M28)="AVERAGE",0,N(Trades!$O28))-K30*L30*J30*N(Trades!$L28)*H30*365/360*EXP(-I30*H30/2)))</f>
        <v/>
      </c>
      <c r="O30" s="14" t="str">
        <f>IF(A30="","",SUMIFS(LegMTM!$F:$F,LegMTM!$B:$B,A30,LegMTM!$C:$C,B30))</f>
        <v/>
      </c>
      <c r="P30" s="14" t="str">
        <f>IF(A30="","",N30-O30)</f>
        <v/>
      </c>
      <c r="Q30" s="14" t="str">
        <f>IF(A30="","",IF($B$1&gt;=H30,0,IF(C30="OPTION",IF(K30&gt;0,N30*EXP(I30*$B$1),0),IF(OR(UPPER(Trades!$J28)="",UPPER(Trades!$J28)="NONE"),IF(K30&gt;0,L30*((E30*EXP((I30-F30)*$B$1))*_xlfn.NORM.S.DIST(((LN(E30/J30)-F30*$B$1+G30^2/2*$B$1)/(G30*SQRT($B$1))),TRUE)-(J30*EXP(I30*$B$1))*_xlfn.NORM.S.DIST(((LN(E30/J30)-F30*$B$1+G30^2/2*$B$1)/(G30*SQRT($B$1)))-G30*SQRT($B$1),TRUE)),L30*((J30*EXP(I30*$B$1))*_xlfn.NORM.S.DIST(-(((LN(E30/J30)-F30*$B$1+G30^2/2*$B$1)/(G30*SQRT($B$1)))-G30*SQRT($B$1)),TRUE)-(E30*EXP((I30-F30)*$B$1))*_xlfn.NORM.S.DIST(-((LN(E30/J30)-F30*$B$1+G30^2/2*$B$1)/(G30*SQRT($B$1))),TRUE))),"reset: see AnalyticCheck"))))</f>
        <v/>
      </c>
    </row>
    <row r="31" spans="1:17" x14ac:dyDescent="0.35">
      <c r="A31" t="str">
        <f>IF(Trades!$A29="","",Trades!$A29)</f>
        <v/>
      </c>
      <c r="B31" t="str">
        <f>IF(A31="","",Trades!$C29)</f>
        <v/>
      </c>
      <c r="C31" t="str">
        <f>IF(A31="","",UPPER(Trades!$D29))</f>
        <v/>
      </c>
      <c r="D31" t="str">
        <f>IF(A31="","",Trades!$E29)</f>
        <v/>
      </c>
      <c r="E31" s="13" t="str">
        <f>IF(A31="","",INDEX(Market!$J:$J,MATCH(D31,Market!$A:$A,0)))</f>
        <v/>
      </c>
      <c r="F31" s="13" t="str">
        <f>IF(A31="","",INDEX(Market!$K:$K,MATCH(D31,Market!$A:$A,0)))</f>
        <v/>
      </c>
      <c r="G31" s="13" t="str">
        <f>IF(A31="","",IF(AND(C31="OPTION",Trades!$T29&lt;&gt;""),Trades!$T29,INDEX(Market!$L:$L,MATCH(D31,Market!$A:$A,0))))</f>
        <v/>
      </c>
      <c r="H31" s="13" t="str">
        <f>IF(A31="","",IF(ISNUMBER(IF(C31="OPTION",Trades!$S29,Trades!$I29)),(IF(C31="OPTION",Trades!$S29,Trades!$I29)-Config!$B$2)/365,VALUE(LEFT(IF(C31="OPTION",Trades!$S29,Trades!$I29),LEN(IF(C31="OPTION",Trades!$S29,Trades!$I29))-1))*CHOOSE(MATCH(RIGHT(IF(C31="OPTION",Trades!$S29,Trades!$I29),1),{"D","W","M","Y"},0),1/365,7/365,1/12,1)))</f>
        <v/>
      </c>
      <c r="I31" s="13" t="str">
        <f>IF(A31="","",IFERROR(LOOKUP(2,1/((Curve!$G$2:$G$200=IF(IFERROR(INDEX(Market!$M:$M,MATCH(D31,Market!$A:$A,0))&amp;"","")="",IFERROR(VLOOKUP("reporting_ccy",Config!$A:$B,2,FALSE),""),INDEX(Market!$M:$M,MATCH(D31,Market!$A:$A,0))))*(Curve!$F$2:$F$200&lt;=H31)),Curve!$E$2:$E$200),IFERROR(INDEX(Curve!$E:$E,MATCH(IF(IFERROR(INDEX(Market!$M:$M,MATCH(D31,Market!$A:$A,0))&amp;"","")="",IFERROR(VLOOKUP("reporting_ccy",Config!$A:$B,2,FALSE),""),INDEX(Market!$M:$M,MATCH(D31,Market!$A:$A,0))),Curve!$G:$G,0)),Curve!$E$2)))</f>
        <v/>
      </c>
      <c r="J31" s="13" t="str">
        <f>IF(A31="","",IF(C31="OPTION",IF(ISNUMBER(Trades!$R29),Trades!$R29,IF(RIGHT(Trades!$R29,1)="%",VALUE(SUBSTITUTE(Trades!$R29,"%",""))/100*E31,VALUE(Trades!$R29))),IF(UPPER(Trades!$M29)="AVERAGE",Trades!$N29,E31)))</f>
        <v/>
      </c>
      <c r="K31" s="13" t="str">
        <f>IF(A31="","",IF(OR(UPPER(Trades!$F29)="BUY",UPPER(Trades!$F29)="RECEIVE_EQUITY"),1,-1))</f>
        <v/>
      </c>
      <c r="L31" s="13" t="str">
        <f>IF(A31="","",Trades!$G29)</f>
        <v/>
      </c>
      <c r="M31" s="13" t="str">
        <f>IF(A31="","",(LN(E31/J31)+(I31-F31+G31^2/2)*H31)/(G31*SQRT(H31)))</f>
        <v/>
      </c>
      <c r="N31" s="14" t="str">
        <f>IF(A31="","",IF(C31="OPTION",K31*L31*IF(LEFT(UPPER(Trades!$Q29),1)="C",(E31*EXP(-F31*H31)*_xlfn.NORM.S.DIST(M31,TRUE)-J31*EXP(-I31*H31)*_xlfn.NORM.S.DIST(M31-G31*SQRT(H31),TRUE)),(J31*EXP(-I31*H31)*_xlfn.NORM.S.DIST(-(M31-G31*SQRT(H31)),TRUE)-E31*EXP(-F31*H31)*_xlfn.NORM.S.DIST(-M31,TRUE))),K31*L31*(E31-J31)+IF(UPPER(Trades!$M29)="AVERAGE",0,N(Trades!$O29))-K31*L31*J31*N(Trades!$L29)*H31*365/360*EXP(-I31*H31/2)))</f>
        <v/>
      </c>
      <c r="O31" s="14" t="str">
        <f>IF(A31="","",SUMIFS(LegMTM!$F:$F,LegMTM!$B:$B,A31,LegMTM!$C:$C,B31))</f>
        <v/>
      </c>
      <c r="P31" s="14" t="str">
        <f>IF(A31="","",N31-O31)</f>
        <v/>
      </c>
      <c r="Q31" s="14" t="str">
        <f>IF(A31="","",IF($B$1&gt;=H31,0,IF(C31="OPTION",IF(K31&gt;0,N31*EXP(I31*$B$1),0),IF(OR(UPPER(Trades!$J29)="",UPPER(Trades!$J29)="NONE"),IF(K31&gt;0,L31*((E31*EXP((I31-F31)*$B$1))*_xlfn.NORM.S.DIST(((LN(E31/J31)-F31*$B$1+G31^2/2*$B$1)/(G31*SQRT($B$1))),TRUE)-(J31*EXP(I31*$B$1))*_xlfn.NORM.S.DIST(((LN(E31/J31)-F31*$B$1+G31^2/2*$B$1)/(G31*SQRT($B$1)))-G31*SQRT($B$1),TRUE)),L31*((J31*EXP(I31*$B$1))*_xlfn.NORM.S.DIST(-(((LN(E31/J31)-F31*$B$1+G31^2/2*$B$1)/(G31*SQRT($B$1)))-G31*SQRT($B$1)),TRUE)-(E31*EXP((I31-F31)*$B$1))*_xlfn.NORM.S.DIST(-((LN(E31/J31)-F31*$B$1+G31^2/2*$B$1)/(G31*SQRT($B$1))),TRUE))),"reset: see AnalyticCheck"))))</f>
        <v/>
      </c>
    </row>
    <row r="32" spans="1:17" x14ac:dyDescent="0.35">
      <c r="A32" t="str">
        <f>IF(Trades!$A30="","",Trades!$A30)</f>
        <v/>
      </c>
      <c r="B32" t="str">
        <f>IF(A32="","",Trades!$C30)</f>
        <v/>
      </c>
      <c r="C32" t="str">
        <f>IF(A32="","",UPPER(Trades!$D30))</f>
        <v/>
      </c>
      <c r="D32" t="str">
        <f>IF(A32="","",Trades!$E30)</f>
        <v/>
      </c>
      <c r="E32" s="13" t="str">
        <f>IF(A32="","",INDEX(Market!$J:$J,MATCH(D32,Market!$A:$A,0)))</f>
        <v/>
      </c>
      <c r="F32" s="13" t="str">
        <f>IF(A32="","",INDEX(Market!$K:$K,MATCH(D32,Market!$A:$A,0)))</f>
        <v/>
      </c>
      <c r="G32" s="13" t="str">
        <f>IF(A32="","",IF(AND(C32="OPTION",Trades!$T30&lt;&gt;""),Trades!$T30,INDEX(Market!$L:$L,MATCH(D32,Market!$A:$A,0))))</f>
        <v/>
      </c>
      <c r="H32" s="13" t="str">
        <f>IF(A32="","",IF(ISNUMBER(IF(C32="OPTION",Trades!$S30,Trades!$I30)),(IF(C32="OPTION",Trades!$S30,Trades!$I30)-Config!$B$2)/365,VALUE(LEFT(IF(C32="OPTION",Trades!$S30,Trades!$I30),LEN(IF(C32="OPTION",Trades!$S30,Trades!$I30))-1))*CHOOSE(MATCH(RIGHT(IF(C32="OPTION",Trades!$S30,Trades!$I30),1),{"D","W","M","Y"},0),1/365,7/365,1/12,1)))</f>
        <v/>
      </c>
      <c r="I32" s="13" t="str">
        <f>IF(A32="","",IFERROR(LOOKUP(2,1/((Curve!$G$2:$G$200=IF(IFERROR(INDEX(Market!$M:$M,MATCH(D32,Market!$A:$A,0))&amp;"","")="",IFERROR(VLOOKUP("reporting_ccy",Config!$A:$B,2,FALSE),""),INDEX(Market!$M:$M,MATCH(D32,Market!$A:$A,0))))*(Curve!$F$2:$F$200&lt;=H32)),Curve!$E$2:$E$200),IFERROR(INDEX(Curve!$E:$E,MATCH(IF(IFERROR(INDEX(Market!$M:$M,MATCH(D32,Market!$A:$A,0))&amp;"","")="",IFERROR(VLOOKUP("reporting_ccy",Config!$A:$B,2,FALSE),""),INDEX(Market!$M:$M,MATCH(D32,Market!$A:$A,0))),Curve!$G:$G,0)),Curve!$E$2)))</f>
        <v/>
      </c>
      <c r="J32" s="13" t="str">
        <f>IF(A32="","",IF(C32="OPTION",IF(ISNUMBER(Trades!$R30),Trades!$R30,IF(RIGHT(Trades!$R30,1)="%",VALUE(SUBSTITUTE(Trades!$R30,"%",""))/100*E32,VALUE(Trades!$R30))),IF(UPPER(Trades!$M30)="AVERAGE",Trades!$N30,E32)))</f>
        <v/>
      </c>
      <c r="K32" s="13" t="str">
        <f>IF(A32="","",IF(OR(UPPER(Trades!$F30)="BUY",UPPER(Trades!$F30)="RECEIVE_EQUITY"),1,-1))</f>
        <v/>
      </c>
      <c r="L32" s="13" t="str">
        <f>IF(A32="","",Trades!$G30)</f>
        <v/>
      </c>
      <c r="M32" s="13" t="str">
        <f>IF(A32="","",(LN(E32/J32)+(I32-F32+G32^2/2)*H32)/(G32*SQRT(H32)))</f>
        <v/>
      </c>
      <c r="N32" s="14" t="str">
        <f>IF(A32="","",IF(C32="OPTION",K32*L32*IF(LEFT(UPPER(Trades!$Q30),1)="C",(E32*EXP(-F32*H32)*_xlfn.NORM.S.DIST(M32,TRUE)-J32*EXP(-I32*H32)*_xlfn.NORM.S.DIST(M32-G32*SQRT(H32),TRUE)),(J32*EXP(-I32*H32)*_xlfn.NORM.S.DIST(-(M32-G32*SQRT(H32)),TRUE)-E32*EXP(-F32*H32)*_xlfn.NORM.S.DIST(-M32,TRUE))),K32*L32*(E32-J32)+IF(UPPER(Trades!$M30)="AVERAGE",0,N(Trades!$O30))-K32*L32*J32*N(Trades!$L30)*H32*365/360*EXP(-I32*H32/2)))</f>
        <v/>
      </c>
      <c r="O32" s="14" t="str">
        <f>IF(A32="","",SUMIFS(LegMTM!$F:$F,LegMTM!$B:$B,A32,LegMTM!$C:$C,B32))</f>
        <v/>
      </c>
      <c r="P32" s="14" t="str">
        <f>IF(A32="","",N32-O32)</f>
        <v/>
      </c>
      <c r="Q32" s="14" t="str">
        <f>IF(A32="","",IF($B$1&gt;=H32,0,IF(C32="OPTION",IF(K32&gt;0,N32*EXP(I32*$B$1),0),IF(OR(UPPER(Trades!$J30)="",UPPER(Trades!$J30)="NONE"),IF(K32&gt;0,L32*((E32*EXP((I32-F32)*$B$1))*_xlfn.NORM.S.DIST(((LN(E32/J32)-F32*$B$1+G32^2/2*$B$1)/(G32*SQRT($B$1))),TRUE)-(J32*EXP(I32*$B$1))*_xlfn.NORM.S.DIST(((LN(E32/J32)-F32*$B$1+G32^2/2*$B$1)/(G32*SQRT($B$1)))-G32*SQRT($B$1),TRUE)),L32*((J32*EXP(I32*$B$1))*_xlfn.NORM.S.DIST(-(((LN(E32/J32)-F32*$B$1+G32^2/2*$B$1)/(G32*SQRT($B$1)))-G32*SQRT($B$1)),TRUE)-(E32*EXP((I32-F32)*$B$1))*_xlfn.NORM.S.DIST(-((LN(E32/J32)-F32*$B$1+G32^2/2*$B$1)/(G32*SQRT($B$1))),TRUE))),"reset: see AnalyticCheck"))))</f>
        <v/>
      </c>
    </row>
    <row r="33" spans="1:17" x14ac:dyDescent="0.35">
      <c r="A33" t="str">
        <f>IF(Trades!$A31="","",Trades!$A31)</f>
        <v/>
      </c>
      <c r="B33" t="str">
        <f>IF(A33="","",Trades!$C31)</f>
        <v/>
      </c>
      <c r="C33" t="str">
        <f>IF(A33="","",UPPER(Trades!$D31))</f>
        <v/>
      </c>
      <c r="D33" t="str">
        <f>IF(A33="","",Trades!$E31)</f>
        <v/>
      </c>
      <c r="E33" s="13" t="str">
        <f>IF(A33="","",INDEX(Market!$J:$J,MATCH(D33,Market!$A:$A,0)))</f>
        <v/>
      </c>
      <c r="F33" s="13" t="str">
        <f>IF(A33="","",INDEX(Market!$K:$K,MATCH(D33,Market!$A:$A,0)))</f>
        <v/>
      </c>
      <c r="G33" s="13" t="str">
        <f>IF(A33="","",IF(AND(C33="OPTION",Trades!$T31&lt;&gt;""),Trades!$T31,INDEX(Market!$L:$L,MATCH(D33,Market!$A:$A,0))))</f>
        <v/>
      </c>
      <c r="H33" s="13" t="str">
        <f>IF(A33="","",IF(ISNUMBER(IF(C33="OPTION",Trades!$S31,Trades!$I31)),(IF(C33="OPTION",Trades!$S31,Trades!$I31)-Config!$B$2)/365,VALUE(LEFT(IF(C33="OPTION",Trades!$S31,Trades!$I31),LEN(IF(C33="OPTION",Trades!$S31,Trades!$I31))-1))*CHOOSE(MATCH(RIGHT(IF(C33="OPTION",Trades!$S31,Trades!$I31),1),{"D","W","M","Y"},0),1/365,7/365,1/12,1)))</f>
        <v/>
      </c>
      <c r="I33" s="13" t="str">
        <f>IF(A33="","",IFERROR(LOOKUP(2,1/((Curve!$G$2:$G$200=IF(IFERROR(INDEX(Market!$M:$M,MATCH(D33,Market!$A:$A,0))&amp;"","")="",IFERROR(VLOOKUP("reporting_ccy",Config!$A:$B,2,FALSE),""),INDEX(Market!$M:$M,MATCH(D33,Market!$A:$A,0))))*(Curve!$F$2:$F$200&lt;=H33)),Curve!$E$2:$E$200),IFERROR(INDEX(Curve!$E:$E,MATCH(IF(IFERROR(INDEX(Market!$M:$M,MATCH(D33,Market!$A:$A,0))&amp;"","")="",IFERROR(VLOOKUP("reporting_ccy",Config!$A:$B,2,FALSE),""),INDEX(Market!$M:$M,MATCH(D33,Market!$A:$A,0))),Curve!$G:$G,0)),Curve!$E$2)))</f>
        <v/>
      </c>
      <c r="J33" s="13" t="str">
        <f>IF(A33="","",IF(C33="OPTION",IF(ISNUMBER(Trades!$R31),Trades!$R31,IF(RIGHT(Trades!$R31,1)="%",VALUE(SUBSTITUTE(Trades!$R31,"%",""))/100*E33,VALUE(Trades!$R31))),IF(UPPER(Trades!$M31)="AVERAGE",Trades!$N31,E33)))</f>
        <v/>
      </c>
      <c r="K33" s="13" t="str">
        <f>IF(A33="","",IF(OR(UPPER(Trades!$F31)="BUY",UPPER(Trades!$F31)="RECEIVE_EQUITY"),1,-1))</f>
        <v/>
      </c>
      <c r="L33" s="13" t="str">
        <f>IF(A33="","",Trades!$G31)</f>
        <v/>
      </c>
      <c r="M33" s="13" t="str">
        <f>IF(A33="","",(LN(E33/J33)+(I33-F33+G33^2/2)*H33)/(G33*SQRT(H33)))</f>
        <v/>
      </c>
      <c r="N33" s="14" t="str">
        <f>IF(A33="","",IF(C33="OPTION",K33*L33*IF(LEFT(UPPER(Trades!$Q31),1)="C",(E33*EXP(-F33*H33)*_xlfn.NORM.S.DIST(M33,TRUE)-J33*EXP(-I33*H33)*_xlfn.NORM.S.DIST(M33-G33*SQRT(H33),TRUE)),(J33*EXP(-I33*H33)*_xlfn.NORM.S.DIST(-(M33-G33*SQRT(H33)),TRUE)-E33*EXP(-F33*H33)*_xlfn.NORM.S.DIST(-M33,TRUE))),K33*L33*(E33-J33)+IF(UPPER(Trades!$M31)="AVERAGE",0,N(Trades!$O31))-K33*L33*J33*N(Trades!$L31)*H33*365/360*EXP(-I33*H33/2)))</f>
        <v/>
      </c>
      <c r="O33" s="14" t="str">
        <f>IF(A33="","",SUMIFS(LegMTM!$F:$F,LegMTM!$B:$B,A33,LegMTM!$C:$C,B33))</f>
        <v/>
      </c>
      <c r="P33" s="14" t="str">
        <f>IF(A33="","",N33-O33)</f>
        <v/>
      </c>
      <c r="Q33" s="14" t="str">
        <f>IF(A33="","",IF($B$1&gt;=H33,0,IF(C33="OPTION",IF(K33&gt;0,N33*EXP(I33*$B$1),0),IF(OR(UPPER(Trades!$J31)="",UPPER(Trades!$J31)="NONE"),IF(K33&gt;0,L33*((E33*EXP((I33-F33)*$B$1))*_xlfn.NORM.S.DIST(((LN(E33/J33)-F33*$B$1+G33^2/2*$B$1)/(G33*SQRT($B$1))),TRUE)-(J33*EXP(I33*$B$1))*_xlfn.NORM.S.DIST(((LN(E33/J33)-F33*$B$1+G33^2/2*$B$1)/(G33*SQRT($B$1)))-G33*SQRT($B$1),TRUE)),L33*((J33*EXP(I33*$B$1))*_xlfn.NORM.S.DIST(-(((LN(E33/J33)-F33*$B$1+G33^2/2*$B$1)/(G33*SQRT($B$1)))-G33*SQRT($B$1)),TRUE)-(E33*EXP((I33-F33)*$B$1))*_xlfn.NORM.S.DIST(-((LN(E33/J33)-F33*$B$1+G33^2/2*$B$1)/(G33*SQRT($B$1))),TRUE))),"reset: see AnalyticCheck"))))</f>
        <v/>
      </c>
    </row>
    <row r="34" spans="1:17" x14ac:dyDescent="0.35">
      <c r="A34" t="str">
        <f>IF(Trades!$A32="","",Trades!$A32)</f>
        <v/>
      </c>
      <c r="B34" t="str">
        <f>IF(A34="","",Trades!$C32)</f>
        <v/>
      </c>
      <c r="C34" t="str">
        <f>IF(A34="","",UPPER(Trades!$D32))</f>
        <v/>
      </c>
      <c r="D34" t="str">
        <f>IF(A34="","",Trades!$E32)</f>
        <v/>
      </c>
      <c r="E34" s="13" t="str">
        <f>IF(A34="","",INDEX(Market!$J:$J,MATCH(D34,Market!$A:$A,0)))</f>
        <v/>
      </c>
      <c r="F34" s="13" t="str">
        <f>IF(A34="","",INDEX(Market!$K:$K,MATCH(D34,Market!$A:$A,0)))</f>
        <v/>
      </c>
      <c r="G34" s="13" t="str">
        <f>IF(A34="","",IF(AND(C34="OPTION",Trades!$T32&lt;&gt;""),Trades!$T32,INDEX(Market!$L:$L,MATCH(D34,Market!$A:$A,0))))</f>
        <v/>
      </c>
      <c r="H34" s="13" t="str">
        <f>IF(A34="","",IF(ISNUMBER(IF(C34="OPTION",Trades!$S32,Trades!$I32)),(IF(C34="OPTION",Trades!$S32,Trades!$I32)-Config!$B$2)/365,VALUE(LEFT(IF(C34="OPTION",Trades!$S32,Trades!$I32),LEN(IF(C34="OPTION",Trades!$S32,Trades!$I32))-1))*CHOOSE(MATCH(RIGHT(IF(C34="OPTION",Trades!$S32,Trades!$I32),1),{"D","W","M","Y"},0),1/365,7/365,1/12,1)))</f>
        <v/>
      </c>
      <c r="I34" s="13" t="str">
        <f>IF(A34="","",IFERROR(LOOKUP(2,1/((Curve!$G$2:$G$200=IF(IFERROR(INDEX(Market!$M:$M,MATCH(D34,Market!$A:$A,0))&amp;"","")="",IFERROR(VLOOKUP("reporting_ccy",Config!$A:$B,2,FALSE),""),INDEX(Market!$M:$M,MATCH(D34,Market!$A:$A,0))))*(Curve!$F$2:$F$200&lt;=H34)),Curve!$E$2:$E$200),IFERROR(INDEX(Curve!$E:$E,MATCH(IF(IFERROR(INDEX(Market!$M:$M,MATCH(D34,Market!$A:$A,0))&amp;"","")="",IFERROR(VLOOKUP("reporting_ccy",Config!$A:$B,2,FALSE),""),INDEX(Market!$M:$M,MATCH(D34,Market!$A:$A,0))),Curve!$G:$G,0)),Curve!$E$2)))</f>
        <v/>
      </c>
      <c r="J34" s="13" t="str">
        <f>IF(A34="","",IF(C34="OPTION",IF(ISNUMBER(Trades!$R32),Trades!$R32,IF(RIGHT(Trades!$R32,1)="%",VALUE(SUBSTITUTE(Trades!$R32,"%",""))/100*E34,VALUE(Trades!$R32))),IF(UPPER(Trades!$M32)="AVERAGE",Trades!$N32,E34)))</f>
        <v/>
      </c>
      <c r="K34" s="13" t="str">
        <f>IF(A34="","",IF(OR(UPPER(Trades!$F32)="BUY",UPPER(Trades!$F32)="RECEIVE_EQUITY"),1,-1))</f>
        <v/>
      </c>
      <c r="L34" s="13" t="str">
        <f>IF(A34="","",Trades!$G32)</f>
        <v/>
      </c>
      <c r="M34" s="13" t="str">
        <f>IF(A34="","",(LN(E34/J34)+(I34-F34+G34^2/2)*H34)/(G34*SQRT(H34)))</f>
        <v/>
      </c>
      <c r="N34" s="14" t="str">
        <f>IF(A34="","",IF(C34="OPTION",K34*L34*IF(LEFT(UPPER(Trades!$Q32),1)="C",(E34*EXP(-F34*H34)*_xlfn.NORM.S.DIST(M34,TRUE)-J34*EXP(-I34*H34)*_xlfn.NORM.S.DIST(M34-G34*SQRT(H34),TRUE)),(J34*EXP(-I34*H34)*_xlfn.NORM.S.DIST(-(M34-G34*SQRT(H34)),TRUE)-E34*EXP(-F34*H34)*_xlfn.NORM.S.DIST(-M34,TRUE))),K34*L34*(E34-J34)+IF(UPPER(Trades!$M32)="AVERAGE",0,N(Trades!$O32))-K34*L34*J34*N(Trades!$L32)*H34*365/360*EXP(-I34*H34/2)))</f>
        <v/>
      </c>
      <c r="O34" s="14" t="str">
        <f>IF(A34="","",SUMIFS(LegMTM!$F:$F,LegMTM!$B:$B,A34,LegMTM!$C:$C,B34))</f>
        <v/>
      </c>
      <c r="P34" s="14" t="str">
        <f>IF(A34="","",N34-O34)</f>
        <v/>
      </c>
      <c r="Q34" s="14" t="str">
        <f>IF(A34="","",IF($B$1&gt;=H34,0,IF(C34="OPTION",IF(K34&gt;0,N34*EXP(I34*$B$1),0),IF(OR(UPPER(Trades!$J32)="",UPPER(Trades!$J32)="NONE"),IF(K34&gt;0,L34*((E34*EXP((I34-F34)*$B$1))*_xlfn.NORM.S.DIST(((LN(E34/J34)-F34*$B$1+G34^2/2*$B$1)/(G34*SQRT($B$1))),TRUE)-(J34*EXP(I34*$B$1))*_xlfn.NORM.S.DIST(((LN(E34/J34)-F34*$B$1+G34^2/2*$B$1)/(G34*SQRT($B$1)))-G34*SQRT($B$1),TRUE)),L34*((J34*EXP(I34*$B$1))*_xlfn.NORM.S.DIST(-(((LN(E34/J34)-F34*$B$1+G34^2/2*$B$1)/(G34*SQRT($B$1)))-G34*SQRT($B$1)),TRUE)-(E34*EXP((I34-F34)*$B$1))*_xlfn.NORM.S.DIST(-((LN(E34/J34)-F34*$B$1+G34^2/2*$B$1)/(G34*SQRT($B$1))),TRUE))),"reset: see AnalyticCheck"))))</f>
        <v/>
      </c>
    </row>
    <row r="35" spans="1:17" x14ac:dyDescent="0.35">
      <c r="A35" t="str">
        <f>IF(Trades!$A33="","",Trades!$A33)</f>
        <v/>
      </c>
      <c r="B35" t="str">
        <f>IF(A35="","",Trades!$C33)</f>
        <v/>
      </c>
      <c r="C35" t="str">
        <f>IF(A35="","",UPPER(Trades!$D33))</f>
        <v/>
      </c>
      <c r="D35" t="str">
        <f>IF(A35="","",Trades!$E33)</f>
        <v/>
      </c>
      <c r="E35" s="13" t="str">
        <f>IF(A35="","",INDEX(Market!$J:$J,MATCH(D35,Market!$A:$A,0)))</f>
        <v/>
      </c>
      <c r="F35" s="13" t="str">
        <f>IF(A35="","",INDEX(Market!$K:$K,MATCH(D35,Market!$A:$A,0)))</f>
        <v/>
      </c>
      <c r="G35" s="13" t="str">
        <f>IF(A35="","",IF(AND(C35="OPTION",Trades!$T33&lt;&gt;""),Trades!$T33,INDEX(Market!$L:$L,MATCH(D35,Market!$A:$A,0))))</f>
        <v/>
      </c>
      <c r="H35" s="13" t="str">
        <f>IF(A35="","",IF(ISNUMBER(IF(C35="OPTION",Trades!$S33,Trades!$I33)),(IF(C35="OPTION",Trades!$S33,Trades!$I33)-Config!$B$2)/365,VALUE(LEFT(IF(C35="OPTION",Trades!$S33,Trades!$I33),LEN(IF(C35="OPTION",Trades!$S33,Trades!$I33))-1))*CHOOSE(MATCH(RIGHT(IF(C35="OPTION",Trades!$S33,Trades!$I33),1),{"D","W","M","Y"},0),1/365,7/365,1/12,1)))</f>
        <v/>
      </c>
      <c r="I35" s="13" t="str">
        <f>IF(A35="","",IFERROR(LOOKUP(2,1/((Curve!$G$2:$G$200=IF(IFERROR(INDEX(Market!$M:$M,MATCH(D35,Market!$A:$A,0))&amp;"","")="",IFERROR(VLOOKUP("reporting_ccy",Config!$A:$B,2,FALSE),""),INDEX(Market!$M:$M,MATCH(D35,Market!$A:$A,0))))*(Curve!$F$2:$F$200&lt;=H35)),Curve!$E$2:$E$200),IFERROR(INDEX(Curve!$E:$E,MATCH(IF(IFERROR(INDEX(Market!$M:$M,MATCH(D35,Market!$A:$A,0))&amp;"","")="",IFERROR(VLOOKUP("reporting_ccy",Config!$A:$B,2,FALSE),""),INDEX(Market!$M:$M,MATCH(D35,Market!$A:$A,0))),Curve!$G:$G,0)),Curve!$E$2)))</f>
        <v/>
      </c>
      <c r="J35" s="13" t="str">
        <f>IF(A35="","",IF(C35="OPTION",IF(ISNUMBER(Trades!$R33),Trades!$R33,IF(RIGHT(Trades!$R33,1)="%",VALUE(SUBSTITUTE(Trades!$R33,"%",""))/100*E35,VALUE(Trades!$R33))),IF(UPPER(Trades!$M33)="AVERAGE",Trades!$N33,E35)))</f>
        <v/>
      </c>
      <c r="K35" s="13" t="str">
        <f>IF(A35="","",IF(OR(UPPER(Trades!$F33)="BUY",UPPER(Trades!$F33)="RECEIVE_EQUITY"),1,-1))</f>
        <v/>
      </c>
      <c r="L35" s="13" t="str">
        <f>IF(A35="","",Trades!$G33)</f>
        <v/>
      </c>
      <c r="M35" s="13" t="str">
        <f>IF(A35="","",(LN(E35/J35)+(I35-F35+G35^2/2)*H35)/(G35*SQRT(H35)))</f>
        <v/>
      </c>
      <c r="N35" s="14" t="str">
        <f>IF(A35="","",IF(C35="OPTION",K35*L35*IF(LEFT(UPPER(Trades!$Q33),1)="C",(E35*EXP(-F35*H35)*_xlfn.NORM.S.DIST(M35,TRUE)-J35*EXP(-I35*H35)*_xlfn.NORM.S.DIST(M35-G35*SQRT(H35),TRUE)),(J35*EXP(-I35*H35)*_xlfn.NORM.S.DIST(-(M35-G35*SQRT(H35)),TRUE)-E35*EXP(-F35*H35)*_xlfn.NORM.S.DIST(-M35,TRUE))),K35*L35*(E35-J35)+IF(UPPER(Trades!$M33)="AVERAGE",0,N(Trades!$O33))-K35*L35*J35*N(Trades!$L33)*H35*365/360*EXP(-I35*H35/2)))</f>
        <v/>
      </c>
      <c r="O35" s="14" t="str">
        <f>IF(A35="","",SUMIFS(LegMTM!$F:$F,LegMTM!$B:$B,A35,LegMTM!$C:$C,B35))</f>
        <v/>
      </c>
      <c r="P35" s="14" t="str">
        <f>IF(A35="","",N35-O35)</f>
        <v/>
      </c>
      <c r="Q35" s="14" t="str">
        <f>IF(A35="","",IF($B$1&gt;=H35,0,IF(C35="OPTION",IF(K35&gt;0,N35*EXP(I35*$B$1),0),IF(OR(UPPER(Trades!$J33)="",UPPER(Trades!$J33)="NONE"),IF(K35&gt;0,L35*((E35*EXP((I35-F35)*$B$1))*_xlfn.NORM.S.DIST(((LN(E35/J35)-F35*$B$1+G35^2/2*$B$1)/(G35*SQRT($B$1))),TRUE)-(J35*EXP(I35*$B$1))*_xlfn.NORM.S.DIST(((LN(E35/J35)-F35*$B$1+G35^2/2*$B$1)/(G35*SQRT($B$1)))-G35*SQRT($B$1),TRUE)),L35*((J35*EXP(I35*$B$1))*_xlfn.NORM.S.DIST(-(((LN(E35/J35)-F35*$B$1+G35^2/2*$B$1)/(G35*SQRT($B$1)))-G35*SQRT($B$1)),TRUE)-(E35*EXP((I35-F35)*$B$1))*_xlfn.NORM.S.DIST(-((LN(E35/J35)-F35*$B$1+G35^2/2*$B$1)/(G35*SQRT($B$1))),TRUE))),"reset: see AnalyticCheck"))))</f>
        <v/>
      </c>
    </row>
    <row r="36" spans="1:17" x14ac:dyDescent="0.35">
      <c r="A36" t="str">
        <f>IF(Trades!$A34="","",Trades!$A34)</f>
        <v/>
      </c>
      <c r="B36" t="str">
        <f>IF(A36="","",Trades!$C34)</f>
        <v/>
      </c>
      <c r="C36" t="str">
        <f>IF(A36="","",UPPER(Trades!$D34))</f>
        <v/>
      </c>
      <c r="D36" t="str">
        <f>IF(A36="","",Trades!$E34)</f>
        <v/>
      </c>
      <c r="E36" s="13" t="str">
        <f>IF(A36="","",INDEX(Market!$J:$J,MATCH(D36,Market!$A:$A,0)))</f>
        <v/>
      </c>
      <c r="F36" s="13" t="str">
        <f>IF(A36="","",INDEX(Market!$K:$K,MATCH(D36,Market!$A:$A,0)))</f>
        <v/>
      </c>
      <c r="G36" s="13" t="str">
        <f>IF(A36="","",IF(AND(C36="OPTION",Trades!$T34&lt;&gt;""),Trades!$T34,INDEX(Market!$L:$L,MATCH(D36,Market!$A:$A,0))))</f>
        <v/>
      </c>
      <c r="H36" s="13" t="str">
        <f>IF(A36="","",IF(ISNUMBER(IF(C36="OPTION",Trades!$S34,Trades!$I34)),(IF(C36="OPTION",Trades!$S34,Trades!$I34)-Config!$B$2)/365,VALUE(LEFT(IF(C36="OPTION",Trades!$S34,Trades!$I34),LEN(IF(C36="OPTION",Trades!$S34,Trades!$I34))-1))*CHOOSE(MATCH(RIGHT(IF(C36="OPTION",Trades!$S34,Trades!$I34),1),{"D","W","M","Y"},0),1/365,7/365,1/12,1)))</f>
        <v/>
      </c>
      <c r="I36" s="13" t="str">
        <f>IF(A36="","",IFERROR(LOOKUP(2,1/((Curve!$G$2:$G$200=IF(IFERROR(INDEX(Market!$M:$M,MATCH(D36,Market!$A:$A,0))&amp;"","")="",IFERROR(VLOOKUP("reporting_ccy",Config!$A:$B,2,FALSE),""),INDEX(Market!$M:$M,MATCH(D36,Market!$A:$A,0))))*(Curve!$F$2:$F$200&lt;=H36)),Curve!$E$2:$E$200),IFERROR(INDEX(Curve!$E:$E,MATCH(IF(IFERROR(INDEX(Market!$M:$M,MATCH(D36,Market!$A:$A,0))&amp;"","")="",IFERROR(VLOOKUP("reporting_ccy",Config!$A:$B,2,FALSE),""),INDEX(Market!$M:$M,MATCH(D36,Market!$A:$A,0))),Curve!$G:$G,0)),Curve!$E$2)))</f>
        <v/>
      </c>
      <c r="J36" s="13" t="str">
        <f>IF(A36="","",IF(C36="OPTION",IF(ISNUMBER(Trades!$R34),Trades!$R34,IF(RIGHT(Trades!$R34,1)="%",VALUE(SUBSTITUTE(Trades!$R34,"%",""))/100*E36,VALUE(Trades!$R34))),IF(UPPER(Trades!$M34)="AVERAGE",Trades!$N34,E36)))</f>
        <v/>
      </c>
      <c r="K36" s="13" t="str">
        <f>IF(A36="","",IF(OR(UPPER(Trades!$F34)="BUY",UPPER(Trades!$F34)="RECEIVE_EQUITY"),1,-1))</f>
        <v/>
      </c>
      <c r="L36" s="13" t="str">
        <f>IF(A36="","",Trades!$G34)</f>
        <v/>
      </c>
      <c r="M36" s="13" t="str">
        <f>IF(A36="","",(LN(E36/J36)+(I36-F36+G36^2/2)*H36)/(G36*SQRT(H36)))</f>
        <v/>
      </c>
      <c r="N36" s="14" t="str">
        <f>IF(A36="","",IF(C36="OPTION",K36*L36*IF(LEFT(UPPER(Trades!$Q34),1)="C",(E36*EXP(-F36*H36)*_xlfn.NORM.S.DIST(M36,TRUE)-J36*EXP(-I36*H36)*_xlfn.NORM.S.DIST(M36-G36*SQRT(H36),TRUE)),(J36*EXP(-I36*H36)*_xlfn.NORM.S.DIST(-(M36-G36*SQRT(H36)),TRUE)-E36*EXP(-F36*H36)*_xlfn.NORM.S.DIST(-M36,TRUE))),K36*L36*(E36-J36)+IF(UPPER(Trades!$M34)="AVERAGE",0,N(Trades!$O34))-K36*L36*J36*N(Trades!$L34)*H36*365/360*EXP(-I36*H36/2)))</f>
        <v/>
      </c>
      <c r="O36" s="14" t="str">
        <f>IF(A36="","",SUMIFS(LegMTM!$F:$F,LegMTM!$B:$B,A36,LegMTM!$C:$C,B36))</f>
        <v/>
      </c>
      <c r="P36" s="14" t="str">
        <f>IF(A36="","",N36-O36)</f>
        <v/>
      </c>
      <c r="Q36" s="14" t="str">
        <f>IF(A36="","",IF($B$1&gt;=H36,0,IF(C36="OPTION",IF(K36&gt;0,N36*EXP(I36*$B$1),0),IF(OR(UPPER(Trades!$J34)="",UPPER(Trades!$J34)="NONE"),IF(K36&gt;0,L36*((E36*EXP((I36-F36)*$B$1))*_xlfn.NORM.S.DIST(((LN(E36/J36)-F36*$B$1+G36^2/2*$B$1)/(G36*SQRT($B$1))),TRUE)-(J36*EXP(I36*$B$1))*_xlfn.NORM.S.DIST(((LN(E36/J36)-F36*$B$1+G36^2/2*$B$1)/(G36*SQRT($B$1)))-G36*SQRT($B$1),TRUE)),L36*((J36*EXP(I36*$B$1))*_xlfn.NORM.S.DIST(-(((LN(E36/J36)-F36*$B$1+G36^2/2*$B$1)/(G36*SQRT($B$1)))-G36*SQRT($B$1)),TRUE)-(E36*EXP((I36-F36)*$B$1))*_xlfn.NORM.S.DIST(-((LN(E36/J36)-F36*$B$1+G36^2/2*$B$1)/(G36*SQRT($B$1))),TRUE))),"reset: see AnalyticCheck"))))</f>
        <v/>
      </c>
    </row>
    <row r="37" spans="1:17" x14ac:dyDescent="0.35">
      <c r="A37" t="str">
        <f>IF(Trades!$A35="","",Trades!$A35)</f>
        <v/>
      </c>
      <c r="B37" t="str">
        <f>IF(A37="","",Trades!$C35)</f>
        <v/>
      </c>
      <c r="C37" t="str">
        <f>IF(A37="","",UPPER(Trades!$D35))</f>
        <v/>
      </c>
      <c r="D37" t="str">
        <f>IF(A37="","",Trades!$E35)</f>
        <v/>
      </c>
      <c r="E37" s="13" t="str">
        <f>IF(A37="","",INDEX(Market!$J:$J,MATCH(D37,Market!$A:$A,0)))</f>
        <v/>
      </c>
      <c r="F37" s="13" t="str">
        <f>IF(A37="","",INDEX(Market!$K:$K,MATCH(D37,Market!$A:$A,0)))</f>
        <v/>
      </c>
      <c r="G37" s="13" t="str">
        <f>IF(A37="","",IF(AND(C37="OPTION",Trades!$T35&lt;&gt;""),Trades!$T35,INDEX(Market!$L:$L,MATCH(D37,Market!$A:$A,0))))</f>
        <v/>
      </c>
      <c r="H37" s="13" t="str">
        <f>IF(A37="","",IF(ISNUMBER(IF(C37="OPTION",Trades!$S35,Trades!$I35)),(IF(C37="OPTION",Trades!$S35,Trades!$I35)-Config!$B$2)/365,VALUE(LEFT(IF(C37="OPTION",Trades!$S35,Trades!$I35),LEN(IF(C37="OPTION",Trades!$S35,Trades!$I35))-1))*CHOOSE(MATCH(RIGHT(IF(C37="OPTION",Trades!$S35,Trades!$I35),1),{"D","W","M","Y"},0),1/365,7/365,1/12,1)))</f>
        <v/>
      </c>
      <c r="I37" s="13" t="str">
        <f>IF(A37="","",IFERROR(LOOKUP(2,1/((Curve!$G$2:$G$200=IF(IFERROR(INDEX(Market!$M:$M,MATCH(D37,Market!$A:$A,0))&amp;"","")="",IFERROR(VLOOKUP("reporting_ccy",Config!$A:$B,2,FALSE),""),INDEX(Market!$M:$M,MATCH(D37,Market!$A:$A,0))))*(Curve!$F$2:$F$200&lt;=H37)),Curve!$E$2:$E$200),IFERROR(INDEX(Curve!$E:$E,MATCH(IF(IFERROR(INDEX(Market!$M:$M,MATCH(D37,Market!$A:$A,0))&amp;"","")="",IFERROR(VLOOKUP("reporting_ccy",Config!$A:$B,2,FALSE),""),INDEX(Market!$M:$M,MATCH(D37,Market!$A:$A,0))),Curve!$G:$G,0)),Curve!$E$2)))</f>
        <v/>
      </c>
      <c r="J37" s="13" t="str">
        <f>IF(A37="","",IF(C37="OPTION",IF(ISNUMBER(Trades!$R35),Trades!$R35,IF(RIGHT(Trades!$R35,1)="%",VALUE(SUBSTITUTE(Trades!$R35,"%",""))/100*E37,VALUE(Trades!$R35))),IF(UPPER(Trades!$M35)="AVERAGE",Trades!$N35,E37)))</f>
        <v/>
      </c>
      <c r="K37" s="13" t="str">
        <f>IF(A37="","",IF(OR(UPPER(Trades!$F35)="BUY",UPPER(Trades!$F35)="RECEIVE_EQUITY"),1,-1))</f>
        <v/>
      </c>
      <c r="L37" s="13" t="str">
        <f>IF(A37="","",Trades!$G35)</f>
        <v/>
      </c>
      <c r="M37" s="13" t="str">
        <f>IF(A37="","",(LN(E37/J37)+(I37-F37+G37^2/2)*H37)/(G37*SQRT(H37)))</f>
        <v/>
      </c>
      <c r="N37" s="14" t="str">
        <f>IF(A37="","",IF(C37="OPTION",K37*L37*IF(LEFT(UPPER(Trades!$Q35),1)="C",(E37*EXP(-F37*H37)*_xlfn.NORM.S.DIST(M37,TRUE)-J37*EXP(-I37*H37)*_xlfn.NORM.S.DIST(M37-G37*SQRT(H37),TRUE)),(J37*EXP(-I37*H37)*_xlfn.NORM.S.DIST(-(M37-G37*SQRT(H37)),TRUE)-E37*EXP(-F37*H37)*_xlfn.NORM.S.DIST(-M37,TRUE))),K37*L37*(E37-J37)+IF(UPPER(Trades!$M35)="AVERAGE",0,N(Trades!$O35))-K37*L37*J37*N(Trades!$L35)*H37*365/360*EXP(-I37*H37/2)))</f>
        <v/>
      </c>
      <c r="O37" s="14" t="str">
        <f>IF(A37="","",SUMIFS(LegMTM!$F:$F,LegMTM!$B:$B,A37,LegMTM!$C:$C,B37))</f>
        <v/>
      </c>
      <c r="P37" s="14" t="str">
        <f>IF(A37="","",N37-O37)</f>
        <v/>
      </c>
      <c r="Q37" s="14" t="str">
        <f>IF(A37="","",IF($B$1&gt;=H37,0,IF(C37="OPTION",IF(K37&gt;0,N37*EXP(I37*$B$1),0),IF(OR(UPPER(Trades!$J35)="",UPPER(Trades!$J35)="NONE"),IF(K37&gt;0,L37*((E37*EXP((I37-F37)*$B$1))*_xlfn.NORM.S.DIST(((LN(E37/J37)-F37*$B$1+G37^2/2*$B$1)/(G37*SQRT($B$1))),TRUE)-(J37*EXP(I37*$B$1))*_xlfn.NORM.S.DIST(((LN(E37/J37)-F37*$B$1+G37^2/2*$B$1)/(G37*SQRT($B$1)))-G37*SQRT($B$1),TRUE)),L37*((J37*EXP(I37*$B$1))*_xlfn.NORM.S.DIST(-(((LN(E37/J37)-F37*$B$1+G37^2/2*$B$1)/(G37*SQRT($B$1)))-G37*SQRT($B$1)),TRUE)-(E37*EXP((I37-F37)*$B$1))*_xlfn.NORM.S.DIST(-((LN(E37/J37)-F37*$B$1+G37^2/2*$B$1)/(G37*SQRT($B$1))),TRUE))),"reset: see AnalyticCheck"))))</f>
        <v/>
      </c>
    </row>
    <row r="38" spans="1:17" x14ac:dyDescent="0.35">
      <c r="A38" t="str">
        <f>IF(Trades!$A36="","",Trades!$A36)</f>
        <v/>
      </c>
      <c r="B38" t="str">
        <f>IF(A38="","",Trades!$C36)</f>
        <v/>
      </c>
      <c r="C38" t="str">
        <f>IF(A38="","",UPPER(Trades!$D36))</f>
        <v/>
      </c>
      <c r="D38" t="str">
        <f>IF(A38="","",Trades!$E36)</f>
        <v/>
      </c>
      <c r="E38" s="13" t="str">
        <f>IF(A38="","",INDEX(Market!$J:$J,MATCH(D38,Market!$A:$A,0)))</f>
        <v/>
      </c>
      <c r="F38" s="13" t="str">
        <f>IF(A38="","",INDEX(Market!$K:$K,MATCH(D38,Market!$A:$A,0)))</f>
        <v/>
      </c>
      <c r="G38" s="13" t="str">
        <f>IF(A38="","",IF(AND(C38="OPTION",Trades!$T36&lt;&gt;""),Trades!$T36,INDEX(Market!$L:$L,MATCH(D38,Market!$A:$A,0))))</f>
        <v/>
      </c>
      <c r="H38" s="13" t="str">
        <f>IF(A38="","",IF(ISNUMBER(IF(C38="OPTION",Trades!$S36,Trades!$I36)),(IF(C38="OPTION",Trades!$S36,Trades!$I36)-Config!$B$2)/365,VALUE(LEFT(IF(C38="OPTION",Trades!$S36,Trades!$I36),LEN(IF(C38="OPTION",Trades!$S36,Trades!$I36))-1))*CHOOSE(MATCH(RIGHT(IF(C38="OPTION",Trades!$S36,Trades!$I36),1),{"D","W","M","Y"},0),1/365,7/365,1/12,1)))</f>
        <v/>
      </c>
      <c r="I38" s="13" t="str">
        <f>IF(A38="","",IFERROR(LOOKUP(2,1/((Curve!$G$2:$G$200=IF(IFERROR(INDEX(Market!$M:$M,MATCH(D38,Market!$A:$A,0))&amp;"","")="",IFERROR(VLOOKUP("reporting_ccy",Config!$A:$B,2,FALSE),""),INDEX(Market!$M:$M,MATCH(D38,Market!$A:$A,0))))*(Curve!$F$2:$F$200&lt;=H38)),Curve!$E$2:$E$200),IFERROR(INDEX(Curve!$E:$E,MATCH(IF(IFERROR(INDEX(Market!$M:$M,MATCH(D38,Market!$A:$A,0))&amp;"","")="",IFERROR(VLOOKUP("reporting_ccy",Config!$A:$B,2,FALSE),""),INDEX(Market!$M:$M,MATCH(D38,Market!$A:$A,0))),Curve!$G:$G,0)),Curve!$E$2)))</f>
        <v/>
      </c>
      <c r="J38" s="13" t="str">
        <f>IF(A38="","",IF(C38="OPTION",IF(ISNUMBER(Trades!$R36),Trades!$R36,IF(RIGHT(Trades!$R36,1)="%",VALUE(SUBSTITUTE(Trades!$R36,"%",""))/100*E38,VALUE(Trades!$R36))),IF(UPPER(Trades!$M36)="AVERAGE",Trades!$N36,E38)))</f>
        <v/>
      </c>
      <c r="K38" s="13" t="str">
        <f>IF(A38="","",IF(OR(UPPER(Trades!$F36)="BUY",UPPER(Trades!$F36)="RECEIVE_EQUITY"),1,-1))</f>
        <v/>
      </c>
      <c r="L38" s="13" t="str">
        <f>IF(A38="","",Trades!$G36)</f>
        <v/>
      </c>
      <c r="M38" s="13" t="str">
        <f>IF(A38="","",(LN(E38/J38)+(I38-F38+G38^2/2)*H38)/(G38*SQRT(H38)))</f>
        <v/>
      </c>
      <c r="N38" s="14" t="str">
        <f>IF(A38="","",IF(C38="OPTION",K38*L38*IF(LEFT(UPPER(Trades!$Q36),1)="C",(E38*EXP(-F38*H38)*_xlfn.NORM.S.DIST(M38,TRUE)-J38*EXP(-I38*H38)*_xlfn.NORM.S.DIST(M38-G38*SQRT(H38),TRUE)),(J38*EXP(-I38*H38)*_xlfn.NORM.S.DIST(-(M38-G38*SQRT(H38)),TRUE)-E38*EXP(-F38*H38)*_xlfn.NORM.S.DIST(-M38,TRUE))),K38*L38*(E38-J38)+IF(UPPER(Trades!$M36)="AVERAGE",0,N(Trades!$O36))-K38*L38*J38*N(Trades!$L36)*H38*365/360*EXP(-I38*H38/2)))</f>
        <v/>
      </c>
      <c r="O38" s="14" t="str">
        <f>IF(A38="","",SUMIFS(LegMTM!$F:$F,LegMTM!$B:$B,A38,LegMTM!$C:$C,B38))</f>
        <v/>
      </c>
      <c r="P38" s="14" t="str">
        <f>IF(A38="","",N38-O38)</f>
        <v/>
      </c>
      <c r="Q38" s="14" t="str">
        <f>IF(A38="","",IF($B$1&gt;=H38,0,IF(C38="OPTION",IF(K38&gt;0,N38*EXP(I38*$B$1),0),IF(OR(UPPER(Trades!$J36)="",UPPER(Trades!$J36)="NONE"),IF(K38&gt;0,L38*((E38*EXP((I38-F38)*$B$1))*_xlfn.NORM.S.DIST(((LN(E38/J38)-F38*$B$1+G38^2/2*$B$1)/(G38*SQRT($B$1))),TRUE)-(J38*EXP(I38*$B$1))*_xlfn.NORM.S.DIST(((LN(E38/J38)-F38*$B$1+G38^2/2*$B$1)/(G38*SQRT($B$1)))-G38*SQRT($B$1),TRUE)),L38*((J38*EXP(I38*$B$1))*_xlfn.NORM.S.DIST(-(((LN(E38/J38)-F38*$B$1+G38^2/2*$B$1)/(G38*SQRT($B$1)))-G38*SQRT($B$1)),TRUE)-(E38*EXP((I38-F38)*$B$1))*_xlfn.NORM.S.DIST(-((LN(E38/J38)-F38*$B$1+G38^2/2*$B$1)/(G38*SQRT($B$1))),TRUE))),"reset: see AnalyticCheck"))))</f>
        <v/>
      </c>
    </row>
    <row r="39" spans="1:17" x14ac:dyDescent="0.35">
      <c r="A39" t="str">
        <f>IF(Trades!$A37="","",Trades!$A37)</f>
        <v/>
      </c>
      <c r="B39" t="str">
        <f>IF(A39="","",Trades!$C37)</f>
        <v/>
      </c>
      <c r="C39" t="str">
        <f>IF(A39="","",UPPER(Trades!$D37))</f>
        <v/>
      </c>
      <c r="D39" t="str">
        <f>IF(A39="","",Trades!$E37)</f>
        <v/>
      </c>
      <c r="E39" s="13" t="str">
        <f>IF(A39="","",INDEX(Market!$J:$J,MATCH(D39,Market!$A:$A,0)))</f>
        <v/>
      </c>
      <c r="F39" s="13" t="str">
        <f>IF(A39="","",INDEX(Market!$K:$K,MATCH(D39,Market!$A:$A,0)))</f>
        <v/>
      </c>
      <c r="G39" s="13" t="str">
        <f>IF(A39="","",IF(AND(C39="OPTION",Trades!$T37&lt;&gt;""),Trades!$T37,INDEX(Market!$L:$L,MATCH(D39,Market!$A:$A,0))))</f>
        <v/>
      </c>
      <c r="H39" s="13" t="str">
        <f>IF(A39="","",IF(ISNUMBER(IF(C39="OPTION",Trades!$S37,Trades!$I37)),(IF(C39="OPTION",Trades!$S37,Trades!$I37)-Config!$B$2)/365,VALUE(LEFT(IF(C39="OPTION",Trades!$S37,Trades!$I37),LEN(IF(C39="OPTION",Trades!$S37,Trades!$I37))-1))*CHOOSE(MATCH(RIGHT(IF(C39="OPTION",Trades!$S37,Trades!$I37),1),{"D","W","M","Y"},0),1/365,7/365,1/12,1)))</f>
        <v/>
      </c>
      <c r="I39" s="13" t="str">
        <f>IF(A39="","",IFERROR(LOOKUP(2,1/((Curve!$G$2:$G$200=IF(IFERROR(INDEX(Market!$M:$M,MATCH(D39,Market!$A:$A,0))&amp;"","")="",IFERROR(VLOOKUP("reporting_ccy",Config!$A:$B,2,FALSE),""),INDEX(Market!$M:$M,MATCH(D39,Market!$A:$A,0))))*(Curve!$F$2:$F$200&lt;=H39)),Curve!$E$2:$E$200),IFERROR(INDEX(Curve!$E:$E,MATCH(IF(IFERROR(INDEX(Market!$M:$M,MATCH(D39,Market!$A:$A,0))&amp;"","")="",IFERROR(VLOOKUP("reporting_ccy",Config!$A:$B,2,FALSE),""),INDEX(Market!$M:$M,MATCH(D39,Market!$A:$A,0))),Curve!$G:$G,0)),Curve!$E$2)))</f>
        <v/>
      </c>
      <c r="J39" s="13" t="str">
        <f>IF(A39="","",IF(C39="OPTION",IF(ISNUMBER(Trades!$R37),Trades!$R37,IF(RIGHT(Trades!$R37,1)="%",VALUE(SUBSTITUTE(Trades!$R37,"%",""))/100*E39,VALUE(Trades!$R37))),IF(UPPER(Trades!$M37)="AVERAGE",Trades!$N37,E39)))</f>
        <v/>
      </c>
      <c r="K39" s="13" t="str">
        <f>IF(A39="","",IF(OR(UPPER(Trades!$F37)="BUY",UPPER(Trades!$F37)="RECEIVE_EQUITY"),1,-1))</f>
        <v/>
      </c>
      <c r="L39" s="13" t="str">
        <f>IF(A39="","",Trades!$G37)</f>
        <v/>
      </c>
      <c r="M39" s="13" t="str">
        <f>IF(A39="","",(LN(E39/J39)+(I39-F39+G39^2/2)*H39)/(G39*SQRT(H39)))</f>
        <v/>
      </c>
      <c r="N39" s="14" t="str">
        <f>IF(A39="","",IF(C39="OPTION",K39*L39*IF(LEFT(UPPER(Trades!$Q37),1)="C",(E39*EXP(-F39*H39)*_xlfn.NORM.S.DIST(M39,TRUE)-J39*EXP(-I39*H39)*_xlfn.NORM.S.DIST(M39-G39*SQRT(H39),TRUE)),(J39*EXP(-I39*H39)*_xlfn.NORM.S.DIST(-(M39-G39*SQRT(H39)),TRUE)-E39*EXP(-F39*H39)*_xlfn.NORM.S.DIST(-M39,TRUE))),K39*L39*(E39-J39)+IF(UPPER(Trades!$M37)="AVERAGE",0,N(Trades!$O37))-K39*L39*J39*N(Trades!$L37)*H39*365/360*EXP(-I39*H39/2)))</f>
        <v/>
      </c>
      <c r="O39" s="14" t="str">
        <f>IF(A39="","",SUMIFS(LegMTM!$F:$F,LegMTM!$B:$B,A39,LegMTM!$C:$C,B39))</f>
        <v/>
      </c>
      <c r="P39" s="14" t="str">
        <f>IF(A39="","",N39-O39)</f>
        <v/>
      </c>
      <c r="Q39" s="14" t="str">
        <f>IF(A39="","",IF($B$1&gt;=H39,0,IF(C39="OPTION",IF(K39&gt;0,N39*EXP(I39*$B$1),0),IF(OR(UPPER(Trades!$J37)="",UPPER(Trades!$J37)="NONE"),IF(K39&gt;0,L39*((E39*EXP((I39-F39)*$B$1))*_xlfn.NORM.S.DIST(((LN(E39/J39)-F39*$B$1+G39^2/2*$B$1)/(G39*SQRT($B$1))),TRUE)-(J39*EXP(I39*$B$1))*_xlfn.NORM.S.DIST(((LN(E39/J39)-F39*$B$1+G39^2/2*$B$1)/(G39*SQRT($B$1)))-G39*SQRT($B$1),TRUE)),L39*((J39*EXP(I39*$B$1))*_xlfn.NORM.S.DIST(-(((LN(E39/J39)-F39*$B$1+G39^2/2*$B$1)/(G39*SQRT($B$1)))-G39*SQRT($B$1)),TRUE)-(E39*EXP((I39-F39)*$B$1))*_xlfn.NORM.S.DIST(-((LN(E39/J39)-F39*$B$1+G39^2/2*$B$1)/(G39*SQRT($B$1))),TRUE))),"reset: see AnalyticCheck"))))</f>
        <v/>
      </c>
    </row>
    <row r="40" spans="1:17" x14ac:dyDescent="0.35">
      <c r="A40" t="str">
        <f>IF(Trades!$A38="","",Trades!$A38)</f>
        <v/>
      </c>
      <c r="B40" t="str">
        <f>IF(A40="","",Trades!$C38)</f>
        <v/>
      </c>
      <c r="C40" t="str">
        <f>IF(A40="","",UPPER(Trades!$D38))</f>
        <v/>
      </c>
      <c r="D40" t="str">
        <f>IF(A40="","",Trades!$E38)</f>
        <v/>
      </c>
      <c r="E40" s="13" t="str">
        <f>IF(A40="","",INDEX(Market!$J:$J,MATCH(D40,Market!$A:$A,0)))</f>
        <v/>
      </c>
      <c r="F40" s="13" t="str">
        <f>IF(A40="","",INDEX(Market!$K:$K,MATCH(D40,Market!$A:$A,0)))</f>
        <v/>
      </c>
      <c r="G40" s="13" t="str">
        <f>IF(A40="","",IF(AND(C40="OPTION",Trades!$T38&lt;&gt;""),Trades!$T38,INDEX(Market!$L:$L,MATCH(D40,Market!$A:$A,0))))</f>
        <v/>
      </c>
      <c r="H40" s="13" t="str">
        <f>IF(A40="","",IF(ISNUMBER(IF(C40="OPTION",Trades!$S38,Trades!$I38)),(IF(C40="OPTION",Trades!$S38,Trades!$I38)-Config!$B$2)/365,VALUE(LEFT(IF(C40="OPTION",Trades!$S38,Trades!$I38),LEN(IF(C40="OPTION",Trades!$S38,Trades!$I38))-1))*CHOOSE(MATCH(RIGHT(IF(C40="OPTION",Trades!$S38,Trades!$I38),1),{"D","W","M","Y"},0),1/365,7/365,1/12,1)))</f>
        <v/>
      </c>
      <c r="I40" s="13" t="str">
        <f>IF(A40="","",IFERROR(LOOKUP(2,1/((Curve!$G$2:$G$200=IF(IFERROR(INDEX(Market!$M:$M,MATCH(D40,Market!$A:$A,0))&amp;"","")="",IFERROR(VLOOKUP("reporting_ccy",Config!$A:$B,2,FALSE),""),INDEX(Market!$M:$M,MATCH(D40,Market!$A:$A,0))))*(Curve!$F$2:$F$200&lt;=H40)),Curve!$E$2:$E$200),IFERROR(INDEX(Curve!$E:$E,MATCH(IF(IFERROR(INDEX(Market!$M:$M,MATCH(D40,Market!$A:$A,0))&amp;"","")="",IFERROR(VLOOKUP("reporting_ccy",Config!$A:$B,2,FALSE),""),INDEX(Market!$M:$M,MATCH(D40,Market!$A:$A,0))),Curve!$G:$G,0)),Curve!$E$2)))</f>
        <v/>
      </c>
      <c r="J40" s="13" t="str">
        <f>IF(A40="","",IF(C40="OPTION",IF(ISNUMBER(Trades!$R38),Trades!$R38,IF(RIGHT(Trades!$R38,1)="%",VALUE(SUBSTITUTE(Trades!$R38,"%",""))/100*E40,VALUE(Trades!$R38))),IF(UPPER(Trades!$M38)="AVERAGE",Trades!$N38,E40)))</f>
        <v/>
      </c>
      <c r="K40" s="13" t="str">
        <f>IF(A40="","",IF(OR(UPPER(Trades!$F38)="BUY",UPPER(Trades!$F38)="RECEIVE_EQUITY"),1,-1))</f>
        <v/>
      </c>
      <c r="L40" s="13" t="str">
        <f>IF(A40="","",Trades!$G38)</f>
        <v/>
      </c>
      <c r="M40" s="13" t="str">
        <f>IF(A40="","",(LN(E40/J40)+(I40-F40+G40^2/2)*H40)/(G40*SQRT(H40)))</f>
        <v/>
      </c>
      <c r="N40" s="14" t="str">
        <f>IF(A40="","",IF(C40="OPTION",K40*L40*IF(LEFT(UPPER(Trades!$Q38),1)="C",(E40*EXP(-F40*H40)*_xlfn.NORM.S.DIST(M40,TRUE)-J40*EXP(-I40*H40)*_xlfn.NORM.S.DIST(M40-G40*SQRT(H40),TRUE)),(J40*EXP(-I40*H40)*_xlfn.NORM.S.DIST(-(M40-G40*SQRT(H40)),TRUE)-E40*EXP(-F40*H40)*_xlfn.NORM.S.DIST(-M40,TRUE))),K40*L40*(E40-J40)+IF(UPPER(Trades!$M38)="AVERAGE",0,N(Trades!$O38))-K40*L40*J40*N(Trades!$L38)*H40*365/360*EXP(-I40*H40/2)))</f>
        <v/>
      </c>
      <c r="O40" s="14" t="str">
        <f>IF(A40="","",SUMIFS(LegMTM!$F:$F,LegMTM!$B:$B,A40,LegMTM!$C:$C,B40))</f>
        <v/>
      </c>
      <c r="P40" s="14" t="str">
        <f>IF(A40="","",N40-O40)</f>
        <v/>
      </c>
      <c r="Q40" s="14" t="str">
        <f>IF(A40="","",IF($B$1&gt;=H40,0,IF(C40="OPTION",IF(K40&gt;0,N40*EXP(I40*$B$1),0),IF(OR(UPPER(Trades!$J38)="",UPPER(Trades!$J38)="NONE"),IF(K40&gt;0,L40*((E40*EXP((I40-F40)*$B$1))*_xlfn.NORM.S.DIST(((LN(E40/J40)-F40*$B$1+G40^2/2*$B$1)/(G40*SQRT($B$1))),TRUE)-(J40*EXP(I40*$B$1))*_xlfn.NORM.S.DIST(((LN(E40/J40)-F40*$B$1+G40^2/2*$B$1)/(G40*SQRT($B$1)))-G40*SQRT($B$1),TRUE)),L40*((J40*EXP(I40*$B$1))*_xlfn.NORM.S.DIST(-(((LN(E40/J40)-F40*$B$1+G40^2/2*$B$1)/(G40*SQRT($B$1)))-G40*SQRT($B$1)),TRUE)-(E40*EXP((I40-F40)*$B$1))*_xlfn.NORM.S.DIST(-((LN(E40/J40)-F40*$B$1+G40^2/2*$B$1)/(G40*SQRT($B$1))),TRUE))),"reset: see AnalyticCheck"))))</f>
        <v/>
      </c>
    </row>
    <row r="41" spans="1:17" x14ac:dyDescent="0.35">
      <c r="A41" t="str">
        <f>IF(Trades!$A39="","",Trades!$A39)</f>
        <v/>
      </c>
      <c r="B41" t="str">
        <f>IF(A41="","",Trades!$C39)</f>
        <v/>
      </c>
      <c r="C41" t="str">
        <f>IF(A41="","",UPPER(Trades!$D39))</f>
        <v/>
      </c>
      <c r="D41" t="str">
        <f>IF(A41="","",Trades!$E39)</f>
        <v/>
      </c>
      <c r="E41" s="13" t="str">
        <f>IF(A41="","",INDEX(Market!$J:$J,MATCH(D41,Market!$A:$A,0)))</f>
        <v/>
      </c>
      <c r="F41" s="13" t="str">
        <f>IF(A41="","",INDEX(Market!$K:$K,MATCH(D41,Market!$A:$A,0)))</f>
        <v/>
      </c>
      <c r="G41" s="13" t="str">
        <f>IF(A41="","",IF(AND(C41="OPTION",Trades!$T39&lt;&gt;""),Trades!$T39,INDEX(Market!$L:$L,MATCH(D41,Market!$A:$A,0))))</f>
        <v/>
      </c>
      <c r="H41" s="13" t="str">
        <f>IF(A41="","",IF(ISNUMBER(IF(C41="OPTION",Trades!$S39,Trades!$I39)),(IF(C41="OPTION",Trades!$S39,Trades!$I39)-Config!$B$2)/365,VALUE(LEFT(IF(C41="OPTION",Trades!$S39,Trades!$I39),LEN(IF(C41="OPTION",Trades!$S39,Trades!$I39))-1))*CHOOSE(MATCH(RIGHT(IF(C41="OPTION",Trades!$S39,Trades!$I39),1),{"D","W","M","Y"},0),1/365,7/365,1/12,1)))</f>
        <v/>
      </c>
      <c r="I41" s="13" t="str">
        <f>IF(A41="","",IFERROR(LOOKUP(2,1/((Curve!$G$2:$G$200=IF(IFERROR(INDEX(Market!$M:$M,MATCH(D41,Market!$A:$A,0))&amp;"","")="",IFERROR(VLOOKUP("reporting_ccy",Config!$A:$B,2,FALSE),""),INDEX(Market!$M:$M,MATCH(D41,Market!$A:$A,0))))*(Curve!$F$2:$F$200&lt;=H41)),Curve!$E$2:$E$200),IFERROR(INDEX(Curve!$E:$E,MATCH(IF(IFERROR(INDEX(Market!$M:$M,MATCH(D41,Market!$A:$A,0))&amp;"","")="",IFERROR(VLOOKUP("reporting_ccy",Config!$A:$B,2,FALSE),""),INDEX(Market!$M:$M,MATCH(D41,Market!$A:$A,0))),Curve!$G:$G,0)),Curve!$E$2)))</f>
        <v/>
      </c>
      <c r="J41" s="13" t="str">
        <f>IF(A41="","",IF(C41="OPTION",IF(ISNUMBER(Trades!$R39),Trades!$R39,IF(RIGHT(Trades!$R39,1)="%",VALUE(SUBSTITUTE(Trades!$R39,"%",""))/100*E41,VALUE(Trades!$R39))),IF(UPPER(Trades!$M39)="AVERAGE",Trades!$N39,E41)))</f>
        <v/>
      </c>
      <c r="K41" s="13" t="str">
        <f>IF(A41="","",IF(OR(UPPER(Trades!$F39)="BUY",UPPER(Trades!$F39)="RECEIVE_EQUITY"),1,-1))</f>
        <v/>
      </c>
      <c r="L41" s="13" t="str">
        <f>IF(A41="","",Trades!$G39)</f>
        <v/>
      </c>
      <c r="M41" s="13" t="str">
        <f>IF(A41="","",(LN(E41/J41)+(I41-F41+G41^2/2)*H41)/(G41*SQRT(H41)))</f>
        <v/>
      </c>
      <c r="N41" s="14" t="str">
        <f>IF(A41="","",IF(C41="OPTION",K41*L41*IF(LEFT(UPPER(Trades!$Q39),1)="C",(E41*EXP(-F41*H41)*_xlfn.NORM.S.DIST(M41,TRUE)-J41*EXP(-I41*H41)*_xlfn.NORM.S.DIST(M41-G41*SQRT(H41),TRUE)),(J41*EXP(-I41*H41)*_xlfn.NORM.S.DIST(-(M41-G41*SQRT(H41)),TRUE)-E41*EXP(-F41*H41)*_xlfn.NORM.S.DIST(-M41,TRUE))),K41*L41*(E41-J41)+IF(UPPER(Trades!$M39)="AVERAGE",0,N(Trades!$O39))-K41*L41*J41*N(Trades!$L39)*H41*365/360*EXP(-I41*H41/2)))</f>
        <v/>
      </c>
      <c r="O41" s="14" t="str">
        <f>IF(A41="","",SUMIFS(LegMTM!$F:$F,LegMTM!$B:$B,A41,LegMTM!$C:$C,B41))</f>
        <v/>
      </c>
      <c r="P41" s="14" t="str">
        <f>IF(A41="","",N41-O41)</f>
        <v/>
      </c>
      <c r="Q41" s="14" t="str">
        <f>IF(A41="","",IF($B$1&gt;=H41,0,IF(C41="OPTION",IF(K41&gt;0,N41*EXP(I41*$B$1),0),IF(OR(UPPER(Trades!$J39)="",UPPER(Trades!$J39)="NONE"),IF(K41&gt;0,L41*((E41*EXP((I41-F41)*$B$1))*_xlfn.NORM.S.DIST(((LN(E41/J41)-F41*$B$1+G41^2/2*$B$1)/(G41*SQRT($B$1))),TRUE)-(J41*EXP(I41*$B$1))*_xlfn.NORM.S.DIST(((LN(E41/J41)-F41*$B$1+G41^2/2*$B$1)/(G41*SQRT($B$1)))-G41*SQRT($B$1),TRUE)),L41*((J41*EXP(I41*$B$1))*_xlfn.NORM.S.DIST(-(((LN(E41/J41)-F41*$B$1+G41^2/2*$B$1)/(G41*SQRT($B$1)))-G41*SQRT($B$1)),TRUE)-(E41*EXP((I41-F41)*$B$1))*_xlfn.NORM.S.DIST(-((LN(E41/J41)-F41*$B$1+G41^2/2*$B$1)/(G41*SQRT($B$1))),TRUE))),"reset: see AnalyticCheck"))))</f>
        <v/>
      </c>
    </row>
    <row r="42" spans="1:17" x14ac:dyDescent="0.35">
      <c r="A42" t="str">
        <f>IF(Trades!$A40="","",Trades!$A40)</f>
        <v/>
      </c>
      <c r="B42" t="str">
        <f>IF(A42="","",Trades!$C40)</f>
        <v/>
      </c>
      <c r="C42" t="str">
        <f>IF(A42="","",UPPER(Trades!$D40))</f>
        <v/>
      </c>
      <c r="D42" t="str">
        <f>IF(A42="","",Trades!$E40)</f>
        <v/>
      </c>
      <c r="E42" s="13" t="str">
        <f>IF(A42="","",INDEX(Market!$J:$J,MATCH(D42,Market!$A:$A,0)))</f>
        <v/>
      </c>
      <c r="F42" s="13" t="str">
        <f>IF(A42="","",INDEX(Market!$K:$K,MATCH(D42,Market!$A:$A,0)))</f>
        <v/>
      </c>
      <c r="G42" s="13" t="str">
        <f>IF(A42="","",IF(AND(C42="OPTION",Trades!$T40&lt;&gt;""),Trades!$T40,INDEX(Market!$L:$L,MATCH(D42,Market!$A:$A,0))))</f>
        <v/>
      </c>
      <c r="H42" s="13" t="str">
        <f>IF(A42="","",IF(ISNUMBER(IF(C42="OPTION",Trades!$S40,Trades!$I40)),(IF(C42="OPTION",Trades!$S40,Trades!$I40)-Config!$B$2)/365,VALUE(LEFT(IF(C42="OPTION",Trades!$S40,Trades!$I40),LEN(IF(C42="OPTION",Trades!$S40,Trades!$I40))-1))*CHOOSE(MATCH(RIGHT(IF(C42="OPTION",Trades!$S40,Trades!$I40),1),{"D","W","M","Y"},0),1/365,7/365,1/12,1)))</f>
        <v/>
      </c>
      <c r="I42" s="13" t="str">
        <f>IF(A42="","",IFERROR(LOOKUP(2,1/((Curve!$G$2:$G$200=IF(IFERROR(INDEX(Market!$M:$M,MATCH(D42,Market!$A:$A,0))&amp;"","")="",IFERROR(VLOOKUP("reporting_ccy",Config!$A:$B,2,FALSE),""),INDEX(Market!$M:$M,MATCH(D42,Market!$A:$A,0))))*(Curve!$F$2:$F$200&lt;=H42)),Curve!$E$2:$E$200),IFERROR(INDEX(Curve!$E:$E,MATCH(IF(IFERROR(INDEX(Market!$M:$M,MATCH(D42,Market!$A:$A,0))&amp;"","")="",IFERROR(VLOOKUP("reporting_ccy",Config!$A:$B,2,FALSE),""),INDEX(Market!$M:$M,MATCH(D42,Market!$A:$A,0))),Curve!$G:$G,0)),Curve!$E$2)))</f>
        <v/>
      </c>
      <c r="J42" s="13" t="str">
        <f>IF(A42="","",IF(C42="OPTION",IF(ISNUMBER(Trades!$R40),Trades!$R40,IF(RIGHT(Trades!$R40,1)="%",VALUE(SUBSTITUTE(Trades!$R40,"%",""))/100*E42,VALUE(Trades!$R40))),IF(UPPER(Trades!$M40)="AVERAGE",Trades!$N40,E42)))</f>
        <v/>
      </c>
      <c r="K42" s="13" t="str">
        <f>IF(A42="","",IF(OR(UPPER(Trades!$F40)="BUY",UPPER(Trades!$F40)="RECEIVE_EQUITY"),1,-1))</f>
        <v/>
      </c>
      <c r="L42" s="13" t="str">
        <f>IF(A42="","",Trades!$G40)</f>
        <v/>
      </c>
      <c r="M42" s="13" t="str">
        <f>IF(A42="","",(LN(E42/J42)+(I42-F42+G42^2/2)*H42)/(G42*SQRT(H42)))</f>
        <v/>
      </c>
      <c r="N42" s="14" t="str">
        <f>IF(A42="","",IF(C42="OPTION",K42*L42*IF(LEFT(UPPER(Trades!$Q40),1)="C",(E42*EXP(-F42*H42)*_xlfn.NORM.S.DIST(M42,TRUE)-J42*EXP(-I42*H42)*_xlfn.NORM.S.DIST(M42-G42*SQRT(H42),TRUE)),(J42*EXP(-I42*H42)*_xlfn.NORM.S.DIST(-(M42-G42*SQRT(H42)),TRUE)-E42*EXP(-F42*H42)*_xlfn.NORM.S.DIST(-M42,TRUE))),K42*L42*(E42-J42)+IF(UPPER(Trades!$M40)="AVERAGE",0,N(Trades!$O40))-K42*L42*J42*N(Trades!$L40)*H42*365/360*EXP(-I42*H42/2)))</f>
        <v/>
      </c>
      <c r="O42" s="14" t="str">
        <f>IF(A42="","",SUMIFS(LegMTM!$F:$F,LegMTM!$B:$B,A42,LegMTM!$C:$C,B42))</f>
        <v/>
      </c>
      <c r="P42" s="14" t="str">
        <f>IF(A42="","",N42-O42)</f>
        <v/>
      </c>
      <c r="Q42" s="14" t="str">
        <f>IF(A42="","",IF($B$1&gt;=H42,0,IF(C42="OPTION",IF(K42&gt;0,N42*EXP(I42*$B$1),0),IF(OR(UPPER(Trades!$J40)="",UPPER(Trades!$J40)="NONE"),IF(K42&gt;0,L42*((E42*EXP((I42-F42)*$B$1))*_xlfn.NORM.S.DIST(((LN(E42/J42)-F42*$B$1+G42^2/2*$B$1)/(G42*SQRT($B$1))),TRUE)-(J42*EXP(I42*$B$1))*_xlfn.NORM.S.DIST(((LN(E42/J42)-F42*$B$1+G42^2/2*$B$1)/(G42*SQRT($B$1)))-G42*SQRT($B$1),TRUE)),L42*((J42*EXP(I42*$B$1))*_xlfn.NORM.S.DIST(-(((LN(E42/J42)-F42*$B$1+G42^2/2*$B$1)/(G42*SQRT($B$1)))-G42*SQRT($B$1)),TRUE)-(E42*EXP((I42-F42)*$B$1))*_xlfn.NORM.S.DIST(-((LN(E42/J42)-F42*$B$1+G42^2/2*$B$1)/(G42*SQRT($B$1))),TRUE))),"reset: see AnalyticCheck"))))</f>
        <v/>
      </c>
    </row>
    <row r="43" spans="1:17" x14ac:dyDescent="0.35">
      <c r="A43" t="str">
        <f>IF(Trades!$A41="","",Trades!$A41)</f>
        <v/>
      </c>
      <c r="B43" t="str">
        <f>IF(A43="","",Trades!$C41)</f>
        <v/>
      </c>
      <c r="C43" t="str">
        <f>IF(A43="","",UPPER(Trades!$D41))</f>
        <v/>
      </c>
      <c r="D43" t="str">
        <f>IF(A43="","",Trades!$E41)</f>
        <v/>
      </c>
      <c r="E43" s="13" t="str">
        <f>IF(A43="","",INDEX(Market!$J:$J,MATCH(D43,Market!$A:$A,0)))</f>
        <v/>
      </c>
      <c r="F43" s="13" t="str">
        <f>IF(A43="","",INDEX(Market!$K:$K,MATCH(D43,Market!$A:$A,0)))</f>
        <v/>
      </c>
      <c r="G43" s="13" t="str">
        <f>IF(A43="","",IF(AND(C43="OPTION",Trades!$T41&lt;&gt;""),Trades!$T41,INDEX(Market!$L:$L,MATCH(D43,Market!$A:$A,0))))</f>
        <v/>
      </c>
      <c r="H43" s="13" t="str">
        <f>IF(A43="","",IF(ISNUMBER(IF(C43="OPTION",Trades!$S41,Trades!$I41)),(IF(C43="OPTION",Trades!$S41,Trades!$I41)-Config!$B$2)/365,VALUE(LEFT(IF(C43="OPTION",Trades!$S41,Trades!$I41),LEN(IF(C43="OPTION",Trades!$S41,Trades!$I41))-1))*CHOOSE(MATCH(RIGHT(IF(C43="OPTION",Trades!$S41,Trades!$I41),1),{"D","W","M","Y"},0),1/365,7/365,1/12,1)))</f>
        <v/>
      </c>
      <c r="I43" s="13" t="str">
        <f>IF(A43="","",IFERROR(LOOKUP(2,1/((Curve!$G$2:$G$200=IF(IFERROR(INDEX(Market!$M:$M,MATCH(D43,Market!$A:$A,0))&amp;"","")="",IFERROR(VLOOKUP("reporting_ccy",Config!$A:$B,2,FALSE),""),INDEX(Market!$M:$M,MATCH(D43,Market!$A:$A,0))))*(Curve!$F$2:$F$200&lt;=H43)),Curve!$E$2:$E$200),IFERROR(INDEX(Curve!$E:$E,MATCH(IF(IFERROR(INDEX(Market!$M:$M,MATCH(D43,Market!$A:$A,0))&amp;"","")="",IFERROR(VLOOKUP("reporting_ccy",Config!$A:$B,2,FALSE),""),INDEX(Market!$M:$M,MATCH(D43,Market!$A:$A,0))),Curve!$G:$G,0)),Curve!$E$2)))</f>
        <v/>
      </c>
      <c r="J43" s="13" t="str">
        <f>IF(A43="","",IF(C43="OPTION",IF(ISNUMBER(Trades!$R41),Trades!$R41,IF(RIGHT(Trades!$R41,1)="%",VALUE(SUBSTITUTE(Trades!$R41,"%",""))/100*E43,VALUE(Trades!$R41))),IF(UPPER(Trades!$M41)="AVERAGE",Trades!$N41,E43)))</f>
        <v/>
      </c>
      <c r="K43" s="13" t="str">
        <f>IF(A43="","",IF(OR(UPPER(Trades!$F41)="BUY",UPPER(Trades!$F41)="RECEIVE_EQUITY"),1,-1))</f>
        <v/>
      </c>
      <c r="L43" s="13" t="str">
        <f>IF(A43="","",Trades!$G41)</f>
        <v/>
      </c>
      <c r="M43" s="13" t="str">
        <f>IF(A43="","",(LN(E43/J43)+(I43-F43+G43^2/2)*H43)/(G43*SQRT(H43)))</f>
        <v/>
      </c>
      <c r="N43" s="14" t="str">
        <f>IF(A43="","",IF(C43="OPTION",K43*L43*IF(LEFT(UPPER(Trades!$Q41),1)="C",(E43*EXP(-F43*H43)*_xlfn.NORM.S.DIST(M43,TRUE)-J43*EXP(-I43*H43)*_xlfn.NORM.S.DIST(M43-G43*SQRT(H43),TRUE)),(J43*EXP(-I43*H43)*_xlfn.NORM.S.DIST(-(M43-G43*SQRT(H43)),TRUE)-E43*EXP(-F43*H43)*_xlfn.NORM.S.DIST(-M43,TRUE))),K43*L43*(E43-J43)+IF(UPPER(Trades!$M41)="AVERAGE",0,N(Trades!$O41))-K43*L43*J43*N(Trades!$L41)*H43*365/360*EXP(-I43*H43/2)))</f>
        <v/>
      </c>
      <c r="O43" s="14" t="str">
        <f>IF(A43="","",SUMIFS(LegMTM!$F:$F,LegMTM!$B:$B,A43,LegMTM!$C:$C,B43))</f>
        <v/>
      </c>
      <c r="P43" s="14" t="str">
        <f>IF(A43="","",N43-O43)</f>
        <v/>
      </c>
      <c r="Q43" s="14" t="str">
        <f>IF(A43="","",IF($B$1&gt;=H43,0,IF(C43="OPTION",IF(K43&gt;0,N43*EXP(I43*$B$1),0),IF(OR(UPPER(Trades!$J41)="",UPPER(Trades!$J41)="NONE"),IF(K43&gt;0,L43*((E43*EXP((I43-F43)*$B$1))*_xlfn.NORM.S.DIST(((LN(E43/J43)-F43*$B$1+G43^2/2*$B$1)/(G43*SQRT($B$1))),TRUE)-(J43*EXP(I43*$B$1))*_xlfn.NORM.S.DIST(((LN(E43/J43)-F43*$B$1+G43^2/2*$B$1)/(G43*SQRT($B$1)))-G43*SQRT($B$1),TRUE)),L43*((J43*EXP(I43*$B$1))*_xlfn.NORM.S.DIST(-(((LN(E43/J43)-F43*$B$1+G43^2/2*$B$1)/(G43*SQRT($B$1)))-G43*SQRT($B$1)),TRUE)-(E43*EXP((I43-F43)*$B$1))*_xlfn.NORM.S.DIST(-((LN(E43/J43)-F43*$B$1+G43^2/2*$B$1)/(G43*SQRT($B$1))),TRUE))),"reset: see AnalyticCheck"))))</f>
        <v/>
      </c>
    </row>
    <row r="44" spans="1:17" x14ac:dyDescent="0.35">
      <c r="A44" t="str">
        <f>IF(Trades!$A42="","",Trades!$A42)</f>
        <v/>
      </c>
      <c r="B44" t="str">
        <f>IF(A44="","",Trades!$C42)</f>
        <v/>
      </c>
      <c r="C44" t="str">
        <f>IF(A44="","",UPPER(Trades!$D42))</f>
        <v/>
      </c>
      <c r="D44" t="str">
        <f>IF(A44="","",Trades!$E42)</f>
        <v/>
      </c>
      <c r="E44" s="13" t="str">
        <f>IF(A44="","",INDEX(Market!$J:$J,MATCH(D44,Market!$A:$A,0)))</f>
        <v/>
      </c>
      <c r="F44" s="13" t="str">
        <f>IF(A44="","",INDEX(Market!$K:$K,MATCH(D44,Market!$A:$A,0)))</f>
        <v/>
      </c>
      <c r="G44" s="13" t="str">
        <f>IF(A44="","",IF(AND(C44="OPTION",Trades!$T42&lt;&gt;""),Trades!$T42,INDEX(Market!$L:$L,MATCH(D44,Market!$A:$A,0))))</f>
        <v/>
      </c>
      <c r="H44" s="13" t="str">
        <f>IF(A44="","",IF(ISNUMBER(IF(C44="OPTION",Trades!$S42,Trades!$I42)),(IF(C44="OPTION",Trades!$S42,Trades!$I42)-Config!$B$2)/365,VALUE(LEFT(IF(C44="OPTION",Trades!$S42,Trades!$I42),LEN(IF(C44="OPTION",Trades!$S42,Trades!$I42))-1))*CHOOSE(MATCH(RIGHT(IF(C44="OPTION",Trades!$S42,Trades!$I42),1),{"D","W","M","Y"},0),1/365,7/365,1/12,1)))</f>
        <v/>
      </c>
      <c r="I44" s="13" t="str">
        <f>IF(A44="","",IFERROR(LOOKUP(2,1/((Curve!$G$2:$G$200=IF(IFERROR(INDEX(Market!$M:$M,MATCH(D44,Market!$A:$A,0))&amp;"","")="",IFERROR(VLOOKUP("reporting_ccy",Config!$A:$B,2,FALSE),""),INDEX(Market!$M:$M,MATCH(D44,Market!$A:$A,0))))*(Curve!$F$2:$F$200&lt;=H44)),Curve!$E$2:$E$200),IFERROR(INDEX(Curve!$E:$E,MATCH(IF(IFERROR(INDEX(Market!$M:$M,MATCH(D44,Market!$A:$A,0))&amp;"","")="",IFERROR(VLOOKUP("reporting_ccy",Config!$A:$B,2,FALSE),""),INDEX(Market!$M:$M,MATCH(D44,Market!$A:$A,0))),Curve!$G:$G,0)),Curve!$E$2)))</f>
        <v/>
      </c>
      <c r="J44" s="13" t="str">
        <f>IF(A44="","",IF(C44="OPTION",IF(ISNUMBER(Trades!$R42),Trades!$R42,IF(RIGHT(Trades!$R42,1)="%",VALUE(SUBSTITUTE(Trades!$R42,"%",""))/100*E44,VALUE(Trades!$R42))),IF(UPPER(Trades!$M42)="AVERAGE",Trades!$N42,E44)))</f>
        <v/>
      </c>
      <c r="K44" s="13" t="str">
        <f>IF(A44="","",IF(OR(UPPER(Trades!$F42)="BUY",UPPER(Trades!$F42)="RECEIVE_EQUITY"),1,-1))</f>
        <v/>
      </c>
      <c r="L44" s="13" t="str">
        <f>IF(A44="","",Trades!$G42)</f>
        <v/>
      </c>
      <c r="M44" s="13" t="str">
        <f>IF(A44="","",(LN(E44/J44)+(I44-F44+G44^2/2)*H44)/(G44*SQRT(H44)))</f>
        <v/>
      </c>
      <c r="N44" s="14" t="str">
        <f>IF(A44="","",IF(C44="OPTION",K44*L44*IF(LEFT(UPPER(Trades!$Q42),1)="C",(E44*EXP(-F44*H44)*_xlfn.NORM.S.DIST(M44,TRUE)-J44*EXP(-I44*H44)*_xlfn.NORM.S.DIST(M44-G44*SQRT(H44),TRUE)),(J44*EXP(-I44*H44)*_xlfn.NORM.S.DIST(-(M44-G44*SQRT(H44)),TRUE)-E44*EXP(-F44*H44)*_xlfn.NORM.S.DIST(-M44,TRUE))),K44*L44*(E44-J44)+IF(UPPER(Trades!$M42)="AVERAGE",0,N(Trades!$O42))-K44*L44*J44*N(Trades!$L42)*H44*365/360*EXP(-I44*H44/2)))</f>
        <v/>
      </c>
      <c r="O44" s="14" t="str">
        <f>IF(A44="","",SUMIFS(LegMTM!$F:$F,LegMTM!$B:$B,A44,LegMTM!$C:$C,B44))</f>
        <v/>
      </c>
      <c r="P44" s="14" t="str">
        <f>IF(A44="","",N44-O44)</f>
        <v/>
      </c>
      <c r="Q44" s="14" t="str">
        <f>IF(A44="","",IF($B$1&gt;=H44,0,IF(C44="OPTION",IF(K44&gt;0,N44*EXP(I44*$B$1),0),IF(OR(UPPER(Trades!$J42)="",UPPER(Trades!$J42)="NONE"),IF(K44&gt;0,L44*((E44*EXP((I44-F44)*$B$1))*_xlfn.NORM.S.DIST(((LN(E44/J44)-F44*$B$1+G44^2/2*$B$1)/(G44*SQRT($B$1))),TRUE)-(J44*EXP(I44*$B$1))*_xlfn.NORM.S.DIST(((LN(E44/J44)-F44*$B$1+G44^2/2*$B$1)/(G44*SQRT($B$1)))-G44*SQRT($B$1),TRUE)),L44*((J44*EXP(I44*$B$1))*_xlfn.NORM.S.DIST(-(((LN(E44/J44)-F44*$B$1+G44^2/2*$B$1)/(G44*SQRT($B$1)))-G44*SQRT($B$1)),TRUE)-(E44*EXP((I44-F44)*$B$1))*_xlfn.NORM.S.DIST(-((LN(E44/J44)-F44*$B$1+G44^2/2*$B$1)/(G44*SQRT($B$1))),TRUE))),"reset: see AnalyticCheck"))))</f>
        <v/>
      </c>
    </row>
    <row r="45" spans="1:17" x14ac:dyDescent="0.35">
      <c r="A45" t="str">
        <f>IF(Trades!$A43="","",Trades!$A43)</f>
        <v/>
      </c>
      <c r="B45" t="str">
        <f>IF(A45="","",Trades!$C43)</f>
        <v/>
      </c>
      <c r="C45" t="str">
        <f>IF(A45="","",UPPER(Trades!$D43))</f>
        <v/>
      </c>
      <c r="D45" t="str">
        <f>IF(A45="","",Trades!$E43)</f>
        <v/>
      </c>
      <c r="E45" s="13" t="str">
        <f>IF(A45="","",INDEX(Market!$J:$J,MATCH(D45,Market!$A:$A,0)))</f>
        <v/>
      </c>
      <c r="F45" s="13" t="str">
        <f>IF(A45="","",INDEX(Market!$K:$K,MATCH(D45,Market!$A:$A,0)))</f>
        <v/>
      </c>
      <c r="G45" s="13" t="str">
        <f>IF(A45="","",IF(AND(C45="OPTION",Trades!$T43&lt;&gt;""),Trades!$T43,INDEX(Market!$L:$L,MATCH(D45,Market!$A:$A,0))))</f>
        <v/>
      </c>
      <c r="H45" s="13" t="str">
        <f>IF(A45="","",IF(ISNUMBER(IF(C45="OPTION",Trades!$S43,Trades!$I43)),(IF(C45="OPTION",Trades!$S43,Trades!$I43)-Config!$B$2)/365,VALUE(LEFT(IF(C45="OPTION",Trades!$S43,Trades!$I43),LEN(IF(C45="OPTION",Trades!$S43,Trades!$I43))-1))*CHOOSE(MATCH(RIGHT(IF(C45="OPTION",Trades!$S43,Trades!$I43),1),{"D","W","M","Y"},0),1/365,7/365,1/12,1)))</f>
        <v/>
      </c>
      <c r="I45" s="13" t="str">
        <f>IF(A45="","",IFERROR(LOOKUP(2,1/((Curve!$G$2:$G$200=IF(IFERROR(INDEX(Market!$M:$M,MATCH(D45,Market!$A:$A,0))&amp;"","")="",IFERROR(VLOOKUP("reporting_ccy",Config!$A:$B,2,FALSE),""),INDEX(Market!$M:$M,MATCH(D45,Market!$A:$A,0))))*(Curve!$F$2:$F$200&lt;=H45)),Curve!$E$2:$E$200),IFERROR(INDEX(Curve!$E:$E,MATCH(IF(IFERROR(INDEX(Market!$M:$M,MATCH(D45,Market!$A:$A,0))&amp;"","")="",IFERROR(VLOOKUP("reporting_ccy",Config!$A:$B,2,FALSE),""),INDEX(Market!$M:$M,MATCH(D45,Market!$A:$A,0))),Curve!$G:$G,0)),Curve!$E$2)))</f>
        <v/>
      </c>
      <c r="J45" s="13" t="str">
        <f>IF(A45="","",IF(C45="OPTION",IF(ISNUMBER(Trades!$R43),Trades!$R43,IF(RIGHT(Trades!$R43,1)="%",VALUE(SUBSTITUTE(Trades!$R43,"%",""))/100*E45,VALUE(Trades!$R43))),IF(UPPER(Trades!$M43)="AVERAGE",Trades!$N43,E45)))</f>
        <v/>
      </c>
      <c r="K45" s="13" t="str">
        <f>IF(A45="","",IF(OR(UPPER(Trades!$F43)="BUY",UPPER(Trades!$F43)="RECEIVE_EQUITY"),1,-1))</f>
        <v/>
      </c>
      <c r="L45" s="13" t="str">
        <f>IF(A45="","",Trades!$G43)</f>
        <v/>
      </c>
      <c r="M45" s="13" t="str">
        <f>IF(A45="","",(LN(E45/J45)+(I45-F45+G45^2/2)*H45)/(G45*SQRT(H45)))</f>
        <v/>
      </c>
      <c r="N45" s="14" t="str">
        <f>IF(A45="","",IF(C45="OPTION",K45*L45*IF(LEFT(UPPER(Trades!$Q43),1)="C",(E45*EXP(-F45*H45)*_xlfn.NORM.S.DIST(M45,TRUE)-J45*EXP(-I45*H45)*_xlfn.NORM.S.DIST(M45-G45*SQRT(H45),TRUE)),(J45*EXP(-I45*H45)*_xlfn.NORM.S.DIST(-(M45-G45*SQRT(H45)),TRUE)-E45*EXP(-F45*H45)*_xlfn.NORM.S.DIST(-M45,TRUE))),K45*L45*(E45-J45)+IF(UPPER(Trades!$M43)="AVERAGE",0,N(Trades!$O43))-K45*L45*J45*N(Trades!$L43)*H45*365/360*EXP(-I45*H45/2)))</f>
        <v/>
      </c>
      <c r="O45" s="14" t="str">
        <f>IF(A45="","",SUMIFS(LegMTM!$F:$F,LegMTM!$B:$B,A45,LegMTM!$C:$C,B45))</f>
        <v/>
      </c>
      <c r="P45" s="14" t="str">
        <f>IF(A45="","",N45-O45)</f>
        <v/>
      </c>
      <c r="Q45" s="14" t="str">
        <f>IF(A45="","",IF($B$1&gt;=H45,0,IF(C45="OPTION",IF(K45&gt;0,N45*EXP(I45*$B$1),0),IF(OR(UPPER(Trades!$J43)="",UPPER(Trades!$J43)="NONE"),IF(K45&gt;0,L45*((E45*EXP((I45-F45)*$B$1))*_xlfn.NORM.S.DIST(((LN(E45/J45)-F45*$B$1+G45^2/2*$B$1)/(G45*SQRT($B$1))),TRUE)-(J45*EXP(I45*$B$1))*_xlfn.NORM.S.DIST(((LN(E45/J45)-F45*$B$1+G45^2/2*$B$1)/(G45*SQRT($B$1)))-G45*SQRT($B$1),TRUE)),L45*((J45*EXP(I45*$B$1))*_xlfn.NORM.S.DIST(-(((LN(E45/J45)-F45*$B$1+G45^2/2*$B$1)/(G45*SQRT($B$1)))-G45*SQRT($B$1)),TRUE)-(E45*EXP((I45-F45)*$B$1))*_xlfn.NORM.S.DIST(-((LN(E45/J45)-F45*$B$1+G45^2/2*$B$1)/(G45*SQRT($B$1))),TRUE))),"reset: see AnalyticCheck"))))</f>
        <v/>
      </c>
    </row>
    <row r="46" spans="1:17" x14ac:dyDescent="0.35">
      <c r="A46" t="str">
        <f>IF(Trades!$A44="","",Trades!$A44)</f>
        <v/>
      </c>
      <c r="B46" t="str">
        <f>IF(A46="","",Trades!$C44)</f>
        <v/>
      </c>
      <c r="C46" t="str">
        <f>IF(A46="","",UPPER(Trades!$D44))</f>
        <v/>
      </c>
      <c r="D46" t="str">
        <f>IF(A46="","",Trades!$E44)</f>
        <v/>
      </c>
      <c r="E46" s="13" t="str">
        <f>IF(A46="","",INDEX(Market!$J:$J,MATCH(D46,Market!$A:$A,0)))</f>
        <v/>
      </c>
      <c r="F46" s="13" t="str">
        <f>IF(A46="","",INDEX(Market!$K:$K,MATCH(D46,Market!$A:$A,0)))</f>
        <v/>
      </c>
      <c r="G46" s="13" t="str">
        <f>IF(A46="","",IF(AND(C46="OPTION",Trades!$T44&lt;&gt;""),Trades!$T44,INDEX(Market!$L:$L,MATCH(D46,Market!$A:$A,0))))</f>
        <v/>
      </c>
      <c r="H46" s="13" t="str">
        <f>IF(A46="","",IF(ISNUMBER(IF(C46="OPTION",Trades!$S44,Trades!$I44)),(IF(C46="OPTION",Trades!$S44,Trades!$I44)-Config!$B$2)/365,VALUE(LEFT(IF(C46="OPTION",Trades!$S44,Trades!$I44),LEN(IF(C46="OPTION",Trades!$S44,Trades!$I44))-1))*CHOOSE(MATCH(RIGHT(IF(C46="OPTION",Trades!$S44,Trades!$I44),1),{"D","W","M","Y"},0),1/365,7/365,1/12,1)))</f>
        <v/>
      </c>
      <c r="I46" s="13" t="str">
        <f>IF(A46="","",IFERROR(LOOKUP(2,1/((Curve!$G$2:$G$200=IF(IFERROR(INDEX(Market!$M:$M,MATCH(D46,Market!$A:$A,0))&amp;"","")="",IFERROR(VLOOKUP("reporting_ccy",Config!$A:$B,2,FALSE),""),INDEX(Market!$M:$M,MATCH(D46,Market!$A:$A,0))))*(Curve!$F$2:$F$200&lt;=H46)),Curve!$E$2:$E$200),IFERROR(INDEX(Curve!$E:$E,MATCH(IF(IFERROR(INDEX(Market!$M:$M,MATCH(D46,Market!$A:$A,0))&amp;"","")="",IFERROR(VLOOKUP("reporting_ccy",Config!$A:$B,2,FALSE),""),INDEX(Market!$M:$M,MATCH(D46,Market!$A:$A,0))),Curve!$G:$G,0)),Curve!$E$2)))</f>
        <v/>
      </c>
      <c r="J46" s="13" t="str">
        <f>IF(A46="","",IF(C46="OPTION",IF(ISNUMBER(Trades!$R44),Trades!$R44,IF(RIGHT(Trades!$R44,1)="%",VALUE(SUBSTITUTE(Trades!$R44,"%",""))/100*E46,VALUE(Trades!$R44))),IF(UPPER(Trades!$M44)="AVERAGE",Trades!$N44,E46)))</f>
        <v/>
      </c>
      <c r="K46" s="13" t="str">
        <f>IF(A46="","",IF(OR(UPPER(Trades!$F44)="BUY",UPPER(Trades!$F44)="RECEIVE_EQUITY"),1,-1))</f>
        <v/>
      </c>
      <c r="L46" s="13" t="str">
        <f>IF(A46="","",Trades!$G44)</f>
        <v/>
      </c>
      <c r="M46" s="13" t="str">
        <f>IF(A46="","",(LN(E46/J46)+(I46-F46+G46^2/2)*H46)/(G46*SQRT(H46)))</f>
        <v/>
      </c>
      <c r="N46" s="14" t="str">
        <f>IF(A46="","",IF(C46="OPTION",K46*L46*IF(LEFT(UPPER(Trades!$Q44),1)="C",(E46*EXP(-F46*H46)*_xlfn.NORM.S.DIST(M46,TRUE)-J46*EXP(-I46*H46)*_xlfn.NORM.S.DIST(M46-G46*SQRT(H46),TRUE)),(J46*EXP(-I46*H46)*_xlfn.NORM.S.DIST(-(M46-G46*SQRT(H46)),TRUE)-E46*EXP(-F46*H46)*_xlfn.NORM.S.DIST(-M46,TRUE))),K46*L46*(E46-J46)+IF(UPPER(Trades!$M44)="AVERAGE",0,N(Trades!$O44))-K46*L46*J46*N(Trades!$L44)*H46*365/360*EXP(-I46*H46/2)))</f>
        <v/>
      </c>
      <c r="O46" s="14" t="str">
        <f>IF(A46="","",SUMIFS(LegMTM!$F:$F,LegMTM!$B:$B,A46,LegMTM!$C:$C,B46))</f>
        <v/>
      </c>
      <c r="P46" s="14" t="str">
        <f>IF(A46="","",N46-O46)</f>
        <v/>
      </c>
      <c r="Q46" s="14" t="str">
        <f>IF(A46="","",IF($B$1&gt;=H46,0,IF(C46="OPTION",IF(K46&gt;0,N46*EXP(I46*$B$1),0),IF(OR(UPPER(Trades!$J44)="",UPPER(Trades!$J44)="NONE"),IF(K46&gt;0,L46*((E46*EXP((I46-F46)*$B$1))*_xlfn.NORM.S.DIST(((LN(E46/J46)-F46*$B$1+G46^2/2*$B$1)/(G46*SQRT($B$1))),TRUE)-(J46*EXP(I46*$B$1))*_xlfn.NORM.S.DIST(((LN(E46/J46)-F46*$B$1+G46^2/2*$B$1)/(G46*SQRT($B$1)))-G46*SQRT($B$1),TRUE)),L46*((J46*EXP(I46*$B$1))*_xlfn.NORM.S.DIST(-(((LN(E46/J46)-F46*$B$1+G46^2/2*$B$1)/(G46*SQRT($B$1)))-G46*SQRT($B$1)),TRUE)-(E46*EXP((I46-F46)*$B$1))*_xlfn.NORM.S.DIST(-((LN(E46/J46)-F46*$B$1+G46^2/2*$B$1)/(G46*SQRT($B$1))),TRUE))),"reset: see AnalyticCheck"))))</f>
        <v/>
      </c>
    </row>
    <row r="47" spans="1:17" x14ac:dyDescent="0.35">
      <c r="A47" t="str">
        <f>IF(Trades!$A45="","",Trades!$A45)</f>
        <v/>
      </c>
      <c r="B47" t="str">
        <f>IF(A47="","",Trades!$C45)</f>
        <v/>
      </c>
      <c r="C47" t="str">
        <f>IF(A47="","",UPPER(Trades!$D45))</f>
        <v/>
      </c>
      <c r="D47" t="str">
        <f>IF(A47="","",Trades!$E45)</f>
        <v/>
      </c>
      <c r="E47" s="13" t="str">
        <f>IF(A47="","",INDEX(Market!$J:$J,MATCH(D47,Market!$A:$A,0)))</f>
        <v/>
      </c>
      <c r="F47" s="13" t="str">
        <f>IF(A47="","",INDEX(Market!$K:$K,MATCH(D47,Market!$A:$A,0)))</f>
        <v/>
      </c>
      <c r="G47" s="13" t="str">
        <f>IF(A47="","",IF(AND(C47="OPTION",Trades!$T45&lt;&gt;""),Trades!$T45,INDEX(Market!$L:$L,MATCH(D47,Market!$A:$A,0))))</f>
        <v/>
      </c>
      <c r="H47" s="13" t="str">
        <f>IF(A47="","",IF(ISNUMBER(IF(C47="OPTION",Trades!$S45,Trades!$I45)),(IF(C47="OPTION",Trades!$S45,Trades!$I45)-Config!$B$2)/365,VALUE(LEFT(IF(C47="OPTION",Trades!$S45,Trades!$I45),LEN(IF(C47="OPTION",Trades!$S45,Trades!$I45))-1))*CHOOSE(MATCH(RIGHT(IF(C47="OPTION",Trades!$S45,Trades!$I45),1),{"D","W","M","Y"},0),1/365,7/365,1/12,1)))</f>
        <v/>
      </c>
      <c r="I47" s="13" t="str">
        <f>IF(A47="","",IFERROR(LOOKUP(2,1/((Curve!$G$2:$G$200=IF(IFERROR(INDEX(Market!$M:$M,MATCH(D47,Market!$A:$A,0))&amp;"","")="",IFERROR(VLOOKUP("reporting_ccy",Config!$A:$B,2,FALSE),""),INDEX(Market!$M:$M,MATCH(D47,Market!$A:$A,0))))*(Curve!$F$2:$F$200&lt;=H47)),Curve!$E$2:$E$200),IFERROR(INDEX(Curve!$E:$E,MATCH(IF(IFERROR(INDEX(Market!$M:$M,MATCH(D47,Market!$A:$A,0))&amp;"","")="",IFERROR(VLOOKUP("reporting_ccy",Config!$A:$B,2,FALSE),""),INDEX(Market!$M:$M,MATCH(D47,Market!$A:$A,0))),Curve!$G:$G,0)),Curve!$E$2)))</f>
        <v/>
      </c>
      <c r="J47" s="13" t="str">
        <f>IF(A47="","",IF(C47="OPTION",IF(ISNUMBER(Trades!$R45),Trades!$R45,IF(RIGHT(Trades!$R45,1)="%",VALUE(SUBSTITUTE(Trades!$R45,"%",""))/100*E47,VALUE(Trades!$R45))),IF(UPPER(Trades!$M45)="AVERAGE",Trades!$N45,E47)))</f>
        <v/>
      </c>
      <c r="K47" s="13" t="str">
        <f>IF(A47="","",IF(OR(UPPER(Trades!$F45)="BUY",UPPER(Trades!$F45)="RECEIVE_EQUITY"),1,-1))</f>
        <v/>
      </c>
      <c r="L47" s="13" t="str">
        <f>IF(A47="","",Trades!$G45)</f>
        <v/>
      </c>
      <c r="M47" s="13" t="str">
        <f>IF(A47="","",(LN(E47/J47)+(I47-F47+G47^2/2)*H47)/(G47*SQRT(H47)))</f>
        <v/>
      </c>
      <c r="N47" s="14" t="str">
        <f>IF(A47="","",IF(C47="OPTION",K47*L47*IF(LEFT(UPPER(Trades!$Q45),1)="C",(E47*EXP(-F47*H47)*_xlfn.NORM.S.DIST(M47,TRUE)-J47*EXP(-I47*H47)*_xlfn.NORM.S.DIST(M47-G47*SQRT(H47),TRUE)),(J47*EXP(-I47*H47)*_xlfn.NORM.S.DIST(-(M47-G47*SQRT(H47)),TRUE)-E47*EXP(-F47*H47)*_xlfn.NORM.S.DIST(-M47,TRUE))),K47*L47*(E47-J47)+IF(UPPER(Trades!$M45)="AVERAGE",0,N(Trades!$O45))-K47*L47*J47*N(Trades!$L45)*H47*365/360*EXP(-I47*H47/2)))</f>
        <v/>
      </c>
      <c r="O47" s="14" t="str">
        <f>IF(A47="","",SUMIFS(LegMTM!$F:$F,LegMTM!$B:$B,A47,LegMTM!$C:$C,B47))</f>
        <v/>
      </c>
      <c r="P47" s="14" t="str">
        <f>IF(A47="","",N47-O47)</f>
        <v/>
      </c>
      <c r="Q47" s="14" t="str">
        <f>IF(A47="","",IF($B$1&gt;=H47,0,IF(C47="OPTION",IF(K47&gt;0,N47*EXP(I47*$B$1),0),IF(OR(UPPER(Trades!$J45)="",UPPER(Trades!$J45)="NONE"),IF(K47&gt;0,L47*((E47*EXP((I47-F47)*$B$1))*_xlfn.NORM.S.DIST(((LN(E47/J47)-F47*$B$1+G47^2/2*$B$1)/(G47*SQRT($B$1))),TRUE)-(J47*EXP(I47*$B$1))*_xlfn.NORM.S.DIST(((LN(E47/J47)-F47*$B$1+G47^2/2*$B$1)/(G47*SQRT($B$1)))-G47*SQRT($B$1),TRUE)),L47*((J47*EXP(I47*$B$1))*_xlfn.NORM.S.DIST(-(((LN(E47/J47)-F47*$B$1+G47^2/2*$B$1)/(G47*SQRT($B$1)))-G47*SQRT($B$1)),TRUE)-(E47*EXP((I47-F47)*$B$1))*_xlfn.NORM.S.DIST(-((LN(E47/J47)-F47*$B$1+G47^2/2*$B$1)/(G47*SQRT($B$1))),TRUE))),"reset: see AnalyticCheck"))))</f>
        <v/>
      </c>
    </row>
    <row r="48" spans="1:17" x14ac:dyDescent="0.35">
      <c r="A48" t="str">
        <f>IF(Trades!$A46="","",Trades!$A46)</f>
        <v/>
      </c>
      <c r="B48" t="str">
        <f>IF(A48="","",Trades!$C46)</f>
        <v/>
      </c>
      <c r="C48" t="str">
        <f>IF(A48="","",UPPER(Trades!$D46))</f>
        <v/>
      </c>
      <c r="D48" t="str">
        <f>IF(A48="","",Trades!$E46)</f>
        <v/>
      </c>
      <c r="E48" s="13" t="str">
        <f>IF(A48="","",INDEX(Market!$J:$J,MATCH(D48,Market!$A:$A,0)))</f>
        <v/>
      </c>
      <c r="F48" s="13" t="str">
        <f>IF(A48="","",INDEX(Market!$K:$K,MATCH(D48,Market!$A:$A,0)))</f>
        <v/>
      </c>
      <c r="G48" s="13" t="str">
        <f>IF(A48="","",IF(AND(C48="OPTION",Trades!$T46&lt;&gt;""),Trades!$T46,INDEX(Market!$L:$L,MATCH(D48,Market!$A:$A,0))))</f>
        <v/>
      </c>
      <c r="H48" s="13" t="str">
        <f>IF(A48="","",IF(ISNUMBER(IF(C48="OPTION",Trades!$S46,Trades!$I46)),(IF(C48="OPTION",Trades!$S46,Trades!$I46)-Config!$B$2)/365,VALUE(LEFT(IF(C48="OPTION",Trades!$S46,Trades!$I46),LEN(IF(C48="OPTION",Trades!$S46,Trades!$I46))-1))*CHOOSE(MATCH(RIGHT(IF(C48="OPTION",Trades!$S46,Trades!$I46),1),{"D","W","M","Y"},0),1/365,7/365,1/12,1)))</f>
        <v/>
      </c>
      <c r="I48" s="13" t="str">
        <f>IF(A48="","",IFERROR(LOOKUP(2,1/((Curve!$G$2:$G$200=IF(IFERROR(INDEX(Market!$M:$M,MATCH(D48,Market!$A:$A,0))&amp;"","")="",IFERROR(VLOOKUP("reporting_ccy",Config!$A:$B,2,FALSE),""),INDEX(Market!$M:$M,MATCH(D48,Market!$A:$A,0))))*(Curve!$F$2:$F$200&lt;=H48)),Curve!$E$2:$E$200),IFERROR(INDEX(Curve!$E:$E,MATCH(IF(IFERROR(INDEX(Market!$M:$M,MATCH(D48,Market!$A:$A,0))&amp;"","")="",IFERROR(VLOOKUP("reporting_ccy",Config!$A:$B,2,FALSE),""),INDEX(Market!$M:$M,MATCH(D48,Market!$A:$A,0))),Curve!$G:$G,0)),Curve!$E$2)))</f>
        <v/>
      </c>
      <c r="J48" s="13" t="str">
        <f>IF(A48="","",IF(C48="OPTION",IF(ISNUMBER(Trades!$R46),Trades!$R46,IF(RIGHT(Trades!$R46,1)="%",VALUE(SUBSTITUTE(Trades!$R46,"%",""))/100*E48,VALUE(Trades!$R46))),IF(UPPER(Trades!$M46)="AVERAGE",Trades!$N46,E48)))</f>
        <v/>
      </c>
      <c r="K48" s="13" t="str">
        <f>IF(A48="","",IF(OR(UPPER(Trades!$F46)="BUY",UPPER(Trades!$F46)="RECEIVE_EQUITY"),1,-1))</f>
        <v/>
      </c>
      <c r="L48" s="13" t="str">
        <f>IF(A48="","",Trades!$G46)</f>
        <v/>
      </c>
      <c r="M48" s="13" t="str">
        <f>IF(A48="","",(LN(E48/J48)+(I48-F48+G48^2/2)*H48)/(G48*SQRT(H48)))</f>
        <v/>
      </c>
      <c r="N48" s="14" t="str">
        <f>IF(A48="","",IF(C48="OPTION",K48*L48*IF(LEFT(UPPER(Trades!$Q46),1)="C",(E48*EXP(-F48*H48)*_xlfn.NORM.S.DIST(M48,TRUE)-J48*EXP(-I48*H48)*_xlfn.NORM.S.DIST(M48-G48*SQRT(H48),TRUE)),(J48*EXP(-I48*H48)*_xlfn.NORM.S.DIST(-(M48-G48*SQRT(H48)),TRUE)-E48*EXP(-F48*H48)*_xlfn.NORM.S.DIST(-M48,TRUE))),K48*L48*(E48-J48)+IF(UPPER(Trades!$M46)="AVERAGE",0,N(Trades!$O46))-K48*L48*J48*N(Trades!$L46)*H48*365/360*EXP(-I48*H48/2)))</f>
        <v/>
      </c>
      <c r="O48" s="14" t="str">
        <f>IF(A48="","",SUMIFS(LegMTM!$F:$F,LegMTM!$B:$B,A48,LegMTM!$C:$C,B48))</f>
        <v/>
      </c>
      <c r="P48" s="14" t="str">
        <f>IF(A48="","",N48-O48)</f>
        <v/>
      </c>
      <c r="Q48" s="14" t="str">
        <f>IF(A48="","",IF($B$1&gt;=H48,0,IF(C48="OPTION",IF(K48&gt;0,N48*EXP(I48*$B$1),0),IF(OR(UPPER(Trades!$J46)="",UPPER(Trades!$J46)="NONE"),IF(K48&gt;0,L48*((E48*EXP((I48-F48)*$B$1))*_xlfn.NORM.S.DIST(((LN(E48/J48)-F48*$B$1+G48^2/2*$B$1)/(G48*SQRT($B$1))),TRUE)-(J48*EXP(I48*$B$1))*_xlfn.NORM.S.DIST(((LN(E48/J48)-F48*$B$1+G48^2/2*$B$1)/(G48*SQRT($B$1)))-G48*SQRT($B$1),TRUE)),L48*((J48*EXP(I48*$B$1))*_xlfn.NORM.S.DIST(-(((LN(E48/J48)-F48*$B$1+G48^2/2*$B$1)/(G48*SQRT($B$1)))-G48*SQRT($B$1)),TRUE)-(E48*EXP((I48-F48)*$B$1))*_xlfn.NORM.S.DIST(-((LN(E48/J48)-F48*$B$1+G48^2/2*$B$1)/(G48*SQRT($B$1))),TRUE))),"reset: see AnalyticCheck"))))</f>
        <v/>
      </c>
    </row>
    <row r="49" spans="1:17" x14ac:dyDescent="0.35">
      <c r="A49" t="str">
        <f>IF(Trades!$A47="","",Trades!$A47)</f>
        <v/>
      </c>
      <c r="B49" t="str">
        <f>IF(A49="","",Trades!$C47)</f>
        <v/>
      </c>
      <c r="C49" t="str">
        <f>IF(A49="","",UPPER(Trades!$D47))</f>
        <v/>
      </c>
      <c r="D49" t="str">
        <f>IF(A49="","",Trades!$E47)</f>
        <v/>
      </c>
      <c r="E49" s="13" t="str">
        <f>IF(A49="","",INDEX(Market!$J:$J,MATCH(D49,Market!$A:$A,0)))</f>
        <v/>
      </c>
      <c r="F49" s="13" t="str">
        <f>IF(A49="","",INDEX(Market!$K:$K,MATCH(D49,Market!$A:$A,0)))</f>
        <v/>
      </c>
      <c r="G49" s="13" t="str">
        <f>IF(A49="","",IF(AND(C49="OPTION",Trades!$T47&lt;&gt;""),Trades!$T47,INDEX(Market!$L:$L,MATCH(D49,Market!$A:$A,0))))</f>
        <v/>
      </c>
      <c r="H49" s="13" t="str">
        <f>IF(A49="","",IF(ISNUMBER(IF(C49="OPTION",Trades!$S47,Trades!$I47)),(IF(C49="OPTION",Trades!$S47,Trades!$I47)-Config!$B$2)/365,VALUE(LEFT(IF(C49="OPTION",Trades!$S47,Trades!$I47),LEN(IF(C49="OPTION",Trades!$S47,Trades!$I47))-1))*CHOOSE(MATCH(RIGHT(IF(C49="OPTION",Trades!$S47,Trades!$I47),1),{"D","W","M","Y"},0),1/365,7/365,1/12,1)))</f>
        <v/>
      </c>
      <c r="I49" s="13" t="str">
        <f>IF(A49="","",IFERROR(LOOKUP(2,1/((Curve!$G$2:$G$200=IF(IFERROR(INDEX(Market!$M:$M,MATCH(D49,Market!$A:$A,0))&amp;"","")="",IFERROR(VLOOKUP("reporting_ccy",Config!$A:$B,2,FALSE),""),INDEX(Market!$M:$M,MATCH(D49,Market!$A:$A,0))))*(Curve!$F$2:$F$200&lt;=H49)),Curve!$E$2:$E$200),IFERROR(INDEX(Curve!$E:$E,MATCH(IF(IFERROR(INDEX(Market!$M:$M,MATCH(D49,Market!$A:$A,0))&amp;"","")="",IFERROR(VLOOKUP("reporting_ccy",Config!$A:$B,2,FALSE),""),INDEX(Market!$M:$M,MATCH(D49,Market!$A:$A,0))),Curve!$G:$G,0)),Curve!$E$2)))</f>
        <v/>
      </c>
      <c r="J49" s="13" t="str">
        <f>IF(A49="","",IF(C49="OPTION",IF(ISNUMBER(Trades!$R47),Trades!$R47,IF(RIGHT(Trades!$R47,1)="%",VALUE(SUBSTITUTE(Trades!$R47,"%",""))/100*E49,VALUE(Trades!$R47))),IF(UPPER(Trades!$M47)="AVERAGE",Trades!$N47,E49)))</f>
        <v/>
      </c>
      <c r="K49" s="13" t="str">
        <f>IF(A49="","",IF(OR(UPPER(Trades!$F47)="BUY",UPPER(Trades!$F47)="RECEIVE_EQUITY"),1,-1))</f>
        <v/>
      </c>
      <c r="L49" s="13" t="str">
        <f>IF(A49="","",Trades!$G47)</f>
        <v/>
      </c>
      <c r="M49" s="13" t="str">
        <f>IF(A49="","",(LN(E49/J49)+(I49-F49+G49^2/2)*H49)/(G49*SQRT(H49)))</f>
        <v/>
      </c>
      <c r="N49" s="14" t="str">
        <f>IF(A49="","",IF(C49="OPTION",K49*L49*IF(LEFT(UPPER(Trades!$Q47),1)="C",(E49*EXP(-F49*H49)*_xlfn.NORM.S.DIST(M49,TRUE)-J49*EXP(-I49*H49)*_xlfn.NORM.S.DIST(M49-G49*SQRT(H49),TRUE)),(J49*EXP(-I49*H49)*_xlfn.NORM.S.DIST(-(M49-G49*SQRT(H49)),TRUE)-E49*EXP(-F49*H49)*_xlfn.NORM.S.DIST(-M49,TRUE))),K49*L49*(E49-J49)+IF(UPPER(Trades!$M47)="AVERAGE",0,N(Trades!$O47))-K49*L49*J49*N(Trades!$L47)*H49*365/360*EXP(-I49*H49/2)))</f>
        <v/>
      </c>
      <c r="O49" s="14" t="str">
        <f>IF(A49="","",SUMIFS(LegMTM!$F:$F,LegMTM!$B:$B,A49,LegMTM!$C:$C,B49))</f>
        <v/>
      </c>
      <c r="P49" s="14" t="str">
        <f>IF(A49="","",N49-O49)</f>
        <v/>
      </c>
      <c r="Q49" s="14" t="str">
        <f>IF(A49="","",IF($B$1&gt;=H49,0,IF(C49="OPTION",IF(K49&gt;0,N49*EXP(I49*$B$1),0),IF(OR(UPPER(Trades!$J47)="",UPPER(Trades!$J47)="NONE"),IF(K49&gt;0,L49*((E49*EXP((I49-F49)*$B$1))*_xlfn.NORM.S.DIST(((LN(E49/J49)-F49*$B$1+G49^2/2*$B$1)/(G49*SQRT($B$1))),TRUE)-(J49*EXP(I49*$B$1))*_xlfn.NORM.S.DIST(((LN(E49/J49)-F49*$B$1+G49^2/2*$B$1)/(G49*SQRT($B$1)))-G49*SQRT($B$1),TRUE)),L49*((J49*EXP(I49*$B$1))*_xlfn.NORM.S.DIST(-(((LN(E49/J49)-F49*$B$1+G49^2/2*$B$1)/(G49*SQRT($B$1)))-G49*SQRT($B$1)),TRUE)-(E49*EXP((I49-F49)*$B$1))*_xlfn.NORM.S.DIST(-((LN(E49/J49)-F49*$B$1+G49^2/2*$B$1)/(G49*SQRT($B$1))),TRUE))),"reset: see AnalyticCheck"))))</f>
        <v/>
      </c>
    </row>
    <row r="50" spans="1:17" x14ac:dyDescent="0.35">
      <c r="A50" t="str">
        <f>IF(Trades!$A48="","",Trades!$A48)</f>
        <v/>
      </c>
      <c r="B50" t="str">
        <f>IF(A50="","",Trades!$C48)</f>
        <v/>
      </c>
      <c r="C50" t="str">
        <f>IF(A50="","",UPPER(Trades!$D48))</f>
        <v/>
      </c>
      <c r="D50" t="str">
        <f>IF(A50="","",Trades!$E48)</f>
        <v/>
      </c>
      <c r="E50" s="13" t="str">
        <f>IF(A50="","",INDEX(Market!$J:$J,MATCH(D50,Market!$A:$A,0)))</f>
        <v/>
      </c>
      <c r="F50" s="13" t="str">
        <f>IF(A50="","",INDEX(Market!$K:$K,MATCH(D50,Market!$A:$A,0)))</f>
        <v/>
      </c>
      <c r="G50" s="13" t="str">
        <f>IF(A50="","",IF(AND(C50="OPTION",Trades!$T48&lt;&gt;""),Trades!$T48,INDEX(Market!$L:$L,MATCH(D50,Market!$A:$A,0))))</f>
        <v/>
      </c>
      <c r="H50" s="13" t="str">
        <f>IF(A50="","",IF(ISNUMBER(IF(C50="OPTION",Trades!$S48,Trades!$I48)),(IF(C50="OPTION",Trades!$S48,Trades!$I48)-Config!$B$2)/365,VALUE(LEFT(IF(C50="OPTION",Trades!$S48,Trades!$I48),LEN(IF(C50="OPTION",Trades!$S48,Trades!$I48))-1))*CHOOSE(MATCH(RIGHT(IF(C50="OPTION",Trades!$S48,Trades!$I48),1),{"D","W","M","Y"},0),1/365,7/365,1/12,1)))</f>
        <v/>
      </c>
      <c r="I50" s="13" t="str">
        <f>IF(A50="","",IFERROR(LOOKUP(2,1/((Curve!$G$2:$G$200=IF(IFERROR(INDEX(Market!$M:$M,MATCH(D50,Market!$A:$A,0))&amp;"","")="",IFERROR(VLOOKUP("reporting_ccy",Config!$A:$B,2,FALSE),""),INDEX(Market!$M:$M,MATCH(D50,Market!$A:$A,0))))*(Curve!$F$2:$F$200&lt;=H50)),Curve!$E$2:$E$200),IFERROR(INDEX(Curve!$E:$E,MATCH(IF(IFERROR(INDEX(Market!$M:$M,MATCH(D50,Market!$A:$A,0))&amp;"","")="",IFERROR(VLOOKUP("reporting_ccy",Config!$A:$B,2,FALSE),""),INDEX(Market!$M:$M,MATCH(D50,Market!$A:$A,0))),Curve!$G:$G,0)),Curve!$E$2)))</f>
        <v/>
      </c>
      <c r="J50" s="13" t="str">
        <f>IF(A50="","",IF(C50="OPTION",IF(ISNUMBER(Trades!$R48),Trades!$R48,IF(RIGHT(Trades!$R48,1)="%",VALUE(SUBSTITUTE(Trades!$R48,"%",""))/100*E50,VALUE(Trades!$R48))),IF(UPPER(Trades!$M48)="AVERAGE",Trades!$N48,E50)))</f>
        <v/>
      </c>
      <c r="K50" s="13" t="str">
        <f>IF(A50="","",IF(OR(UPPER(Trades!$F48)="BUY",UPPER(Trades!$F48)="RECEIVE_EQUITY"),1,-1))</f>
        <v/>
      </c>
      <c r="L50" s="13" t="str">
        <f>IF(A50="","",Trades!$G48)</f>
        <v/>
      </c>
      <c r="M50" s="13" t="str">
        <f>IF(A50="","",(LN(E50/J50)+(I50-F50+G50^2/2)*H50)/(G50*SQRT(H50)))</f>
        <v/>
      </c>
      <c r="N50" s="14" t="str">
        <f>IF(A50="","",IF(C50="OPTION",K50*L50*IF(LEFT(UPPER(Trades!$Q48),1)="C",(E50*EXP(-F50*H50)*_xlfn.NORM.S.DIST(M50,TRUE)-J50*EXP(-I50*H50)*_xlfn.NORM.S.DIST(M50-G50*SQRT(H50),TRUE)),(J50*EXP(-I50*H50)*_xlfn.NORM.S.DIST(-(M50-G50*SQRT(H50)),TRUE)-E50*EXP(-F50*H50)*_xlfn.NORM.S.DIST(-M50,TRUE))),K50*L50*(E50-J50)+IF(UPPER(Trades!$M48)="AVERAGE",0,N(Trades!$O48))-K50*L50*J50*N(Trades!$L48)*H50*365/360*EXP(-I50*H50/2)))</f>
        <v/>
      </c>
      <c r="O50" s="14" t="str">
        <f>IF(A50="","",SUMIFS(LegMTM!$F:$F,LegMTM!$B:$B,A50,LegMTM!$C:$C,B50))</f>
        <v/>
      </c>
      <c r="P50" s="14" t="str">
        <f>IF(A50="","",N50-O50)</f>
        <v/>
      </c>
      <c r="Q50" s="14" t="str">
        <f>IF(A50="","",IF($B$1&gt;=H50,0,IF(C50="OPTION",IF(K50&gt;0,N50*EXP(I50*$B$1),0),IF(OR(UPPER(Trades!$J48)="",UPPER(Trades!$J48)="NONE"),IF(K50&gt;0,L50*((E50*EXP((I50-F50)*$B$1))*_xlfn.NORM.S.DIST(((LN(E50/J50)-F50*$B$1+G50^2/2*$B$1)/(G50*SQRT($B$1))),TRUE)-(J50*EXP(I50*$B$1))*_xlfn.NORM.S.DIST(((LN(E50/J50)-F50*$B$1+G50^2/2*$B$1)/(G50*SQRT($B$1)))-G50*SQRT($B$1),TRUE)),L50*((J50*EXP(I50*$B$1))*_xlfn.NORM.S.DIST(-(((LN(E50/J50)-F50*$B$1+G50^2/2*$B$1)/(G50*SQRT($B$1)))-G50*SQRT($B$1)),TRUE)-(E50*EXP((I50-F50)*$B$1))*_xlfn.NORM.S.DIST(-((LN(E50/J50)-F50*$B$1+G50^2/2*$B$1)/(G50*SQRT($B$1))),TRUE))),"reset: see AnalyticCheck"))))</f>
        <v/>
      </c>
    </row>
    <row r="51" spans="1:17" x14ac:dyDescent="0.35">
      <c r="A51" t="str">
        <f>IF(Trades!$A49="","",Trades!$A49)</f>
        <v/>
      </c>
      <c r="B51" t="str">
        <f>IF(A51="","",Trades!$C49)</f>
        <v/>
      </c>
      <c r="C51" t="str">
        <f>IF(A51="","",UPPER(Trades!$D49))</f>
        <v/>
      </c>
      <c r="D51" t="str">
        <f>IF(A51="","",Trades!$E49)</f>
        <v/>
      </c>
      <c r="E51" s="13" t="str">
        <f>IF(A51="","",INDEX(Market!$J:$J,MATCH(D51,Market!$A:$A,0)))</f>
        <v/>
      </c>
      <c r="F51" s="13" t="str">
        <f>IF(A51="","",INDEX(Market!$K:$K,MATCH(D51,Market!$A:$A,0)))</f>
        <v/>
      </c>
      <c r="G51" s="13" t="str">
        <f>IF(A51="","",IF(AND(C51="OPTION",Trades!$T49&lt;&gt;""),Trades!$T49,INDEX(Market!$L:$L,MATCH(D51,Market!$A:$A,0))))</f>
        <v/>
      </c>
      <c r="H51" s="13" t="str">
        <f>IF(A51="","",IF(ISNUMBER(IF(C51="OPTION",Trades!$S49,Trades!$I49)),(IF(C51="OPTION",Trades!$S49,Trades!$I49)-Config!$B$2)/365,VALUE(LEFT(IF(C51="OPTION",Trades!$S49,Trades!$I49),LEN(IF(C51="OPTION",Trades!$S49,Trades!$I49))-1))*CHOOSE(MATCH(RIGHT(IF(C51="OPTION",Trades!$S49,Trades!$I49),1),{"D","W","M","Y"},0),1/365,7/365,1/12,1)))</f>
        <v/>
      </c>
      <c r="I51" s="13" t="str">
        <f>IF(A51="","",IFERROR(LOOKUP(2,1/((Curve!$G$2:$G$200=IF(IFERROR(INDEX(Market!$M:$M,MATCH(D51,Market!$A:$A,0))&amp;"","")="",IFERROR(VLOOKUP("reporting_ccy",Config!$A:$B,2,FALSE),""),INDEX(Market!$M:$M,MATCH(D51,Market!$A:$A,0))))*(Curve!$F$2:$F$200&lt;=H51)),Curve!$E$2:$E$200),IFERROR(INDEX(Curve!$E:$E,MATCH(IF(IFERROR(INDEX(Market!$M:$M,MATCH(D51,Market!$A:$A,0))&amp;"","")="",IFERROR(VLOOKUP("reporting_ccy",Config!$A:$B,2,FALSE),""),INDEX(Market!$M:$M,MATCH(D51,Market!$A:$A,0))),Curve!$G:$G,0)),Curve!$E$2)))</f>
        <v/>
      </c>
      <c r="J51" s="13" t="str">
        <f>IF(A51="","",IF(C51="OPTION",IF(ISNUMBER(Trades!$R49),Trades!$R49,IF(RIGHT(Trades!$R49,1)="%",VALUE(SUBSTITUTE(Trades!$R49,"%",""))/100*E51,VALUE(Trades!$R49))),IF(UPPER(Trades!$M49)="AVERAGE",Trades!$N49,E51)))</f>
        <v/>
      </c>
      <c r="K51" s="13" t="str">
        <f>IF(A51="","",IF(OR(UPPER(Trades!$F49)="BUY",UPPER(Trades!$F49)="RECEIVE_EQUITY"),1,-1))</f>
        <v/>
      </c>
      <c r="L51" s="13" t="str">
        <f>IF(A51="","",Trades!$G49)</f>
        <v/>
      </c>
      <c r="M51" s="13" t="str">
        <f>IF(A51="","",(LN(E51/J51)+(I51-F51+G51^2/2)*H51)/(G51*SQRT(H51)))</f>
        <v/>
      </c>
      <c r="N51" s="14" t="str">
        <f>IF(A51="","",IF(C51="OPTION",K51*L51*IF(LEFT(UPPER(Trades!$Q49),1)="C",(E51*EXP(-F51*H51)*_xlfn.NORM.S.DIST(M51,TRUE)-J51*EXP(-I51*H51)*_xlfn.NORM.S.DIST(M51-G51*SQRT(H51),TRUE)),(J51*EXP(-I51*H51)*_xlfn.NORM.S.DIST(-(M51-G51*SQRT(H51)),TRUE)-E51*EXP(-F51*H51)*_xlfn.NORM.S.DIST(-M51,TRUE))),K51*L51*(E51-J51)+IF(UPPER(Trades!$M49)="AVERAGE",0,N(Trades!$O49))-K51*L51*J51*N(Trades!$L49)*H51*365/360*EXP(-I51*H51/2)))</f>
        <v/>
      </c>
      <c r="O51" s="14" t="str">
        <f>IF(A51="","",SUMIFS(LegMTM!$F:$F,LegMTM!$B:$B,A51,LegMTM!$C:$C,B51))</f>
        <v/>
      </c>
      <c r="P51" s="14" t="str">
        <f>IF(A51="","",N51-O51)</f>
        <v/>
      </c>
      <c r="Q51" s="14" t="str">
        <f>IF(A51="","",IF($B$1&gt;=H51,0,IF(C51="OPTION",IF(K51&gt;0,N51*EXP(I51*$B$1),0),IF(OR(UPPER(Trades!$J49)="",UPPER(Trades!$J49)="NONE"),IF(K51&gt;0,L51*((E51*EXP((I51-F51)*$B$1))*_xlfn.NORM.S.DIST(((LN(E51/J51)-F51*$B$1+G51^2/2*$B$1)/(G51*SQRT($B$1))),TRUE)-(J51*EXP(I51*$B$1))*_xlfn.NORM.S.DIST(((LN(E51/J51)-F51*$B$1+G51^2/2*$B$1)/(G51*SQRT($B$1)))-G51*SQRT($B$1),TRUE)),L51*((J51*EXP(I51*$B$1))*_xlfn.NORM.S.DIST(-(((LN(E51/J51)-F51*$B$1+G51^2/2*$B$1)/(G51*SQRT($B$1)))-G51*SQRT($B$1)),TRUE)-(E51*EXP((I51-F51)*$B$1))*_xlfn.NORM.S.DIST(-((LN(E51/J51)-F51*$B$1+G51^2/2*$B$1)/(G51*SQRT($B$1))),TRUE))),"reset: see AnalyticCheck"))))</f>
        <v/>
      </c>
    </row>
    <row r="52" spans="1:17" x14ac:dyDescent="0.35">
      <c r="A52" t="str">
        <f>IF(Trades!$A50="","",Trades!$A50)</f>
        <v/>
      </c>
      <c r="B52" t="str">
        <f>IF(A52="","",Trades!$C50)</f>
        <v/>
      </c>
      <c r="C52" t="str">
        <f>IF(A52="","",UPPER(Trades!$D50))</f>
        <v/>
      </c>
      <c r="D52" t="str">
        <f>IF(A52="","",Trades!$E50)</f>
        <v/>
      </c>
      <c r="E52" s="13" t="str">
        <f>IF(A52="","",INDEX(Market!$J:$J,MATCH(D52,Market!$A:$A,0)))</f>
        <v/>
      </c>
      <c r="F52" s="13" t="str">
        <f>IF(A52="","",INDEX(Market!$K:$K,MATCH(D52,Market!$A:$A,0)))</f>
        <v/>
      </c>
      <c r="G52" s="13" t="str">
        <f>IF(A52="","",IF(AND(C52="OPTION",Trades!$T50&lt;&gt;""),Trades!$T50,INDEX(Market!$L:$L,MATCH(D52,Market!$A:$A,0))))</f>
        <v/>
      </c>
      <c r="H52" s="13" t="str">
        <f>IF(A52="","",IF(ISNUMBER(IF(C52="OPTION",Trades!$S50,Trades!$I50)),(IF(C52="OPTION",Trades!$S50,Trades!$I50)-Config!$B$2)/365,VALUE(LEFT(IF(C52="OPTION",Trades!$S50,Trades!$I50),LEN(IF(C52="OPTION",Trades!$S50,Trades!$I50))-1))*CHOOSE(MATCH(RIGHT(IF(C52="OPTION",Trades!$S50,Trades!$I50),1),{"D","W","M","Y"},0),1/365,7/365,1/12,1)))</f>
        <v/>
      </c>
      <c r="I52" s="13" t="str">
        <f>IF(A52="","",IFERROR(LOOKUP(2,1/((Curve!$G$2:$G$200=IF(IFERROR(INDEX(Market!$M:$M,MATCH(D52,Market!$A:$A,0))&amp;"","")="",IFERROR(VLOOKUP("reporting_ccy",Config!$A:$B,2,FALSE),""),INDEX(Market!$M:$M,MATCH(D52,Market!$A:$A,0))))*(Curve!$F$2:$F$200&lt;=H52)),Curve!$E$2:$E$200),IFERROR(INDEX(Curve!$E:$E,MATCH(IF(IFERROR(INDEX(Market!$M:$M,MATCH(D52,Market!$A:$A,0))&amp;"","")="",IFERROR(VLOOKUP("reporting_ccy",Config!$A:$B,2,FALSE),""),INDEX(Market!$M:$M,MATCH(D52,Market!$A:$A,0))),Curve!$G:$G,0)),Curve!$E$2)))</f>
        <v/>
      </c>
      <c r="J52" s="13" t="str">
        <f>IF(A52="","",IF(C52="OPTION",IF(ISNUMBER(Trades!$R50),Trades!$R50,IF(RIGHT(Trades!$R50,1)="%",VALUE(SUBSTITUTE(Trades!$R50,"%",""))/100*E52,VALUE(Trades!$R50))),IF(UPPER(Trades!$M50)="AVERAGE",Trades!$N50,E52)))</f>
        <v/>
      </c>
      <c r="K52" s="13" t="str">
        <f>IF(A52="","",IF(OR(UPPER(Trades!$F50)="BUY",UPPER(Trades!$F50)="RECEIVE_EQUITY"),1,-1))</f>
        <v/>
      </c>
      <c r="L52" s="13" t="str">
        <f>IF(A52="","",Trades!$G50)</f>
        <v/>
      </c>
      <c r="M52" s="13" t="str">
        <f>IF(A52="","",(LN(E52/J52)+(I52-F52+G52^2/2)*H52)/(G52*SQRT(H52)))</f>
        <v/>
      </c>
      <c r="N52" s="14" t="str">
        <f>IF(A52="","",IF(C52="OPTION",K52*L52*IF(LEFT(UPPER(Trades!$Q50),1)="C",(E52*EXP(-F52*H52)*_xlfn.NORM.S.DIST(M52,TRUE)-J52*EXP(-I52*H52)*_xlfn.NORM.S.DIST(M52-G52*SQRT(H52),TRUE)),(J52*EXP(-I52*H52)*_xlfn.NORM.S.DIST(-(M52-G52*SQRT(H52)),TRUE)-E52*EXP(-F52*H52)*_xlfn.NORM.S.DIST(-M52,TRUE))),K52*L52*(E52-J52)+IF(UPPER(Trades!$M50)="AVERAGE",0,N(Trades!$O50))-K52*L52*J52*N(Trades!$L50)*H52*365/360*EXP(-I52*H52/2)))</f>
        <v/>
      </c>
      <c r="O52" s="14" t="str">
        <f>IF(A52="","",SUMIFS(LegMTM!$F:$F,LegMTM!$B:$B,A52,LegMTM!$C:$C,B52))</f>
        <v/>
      </c>
      <c r="P52" s="14" t="str">
        <f>IF(A52="","",N52-O52)</f>
        <v/>
      </c>
      <c r="Q52" s="14" t="str">
        <f>IF(A52="","",IF($B$1&gt;=H52,0,IF(C52="OPTION",IF(K52&gt;0,N52*EXP(I52*$B$1),0),IF(OR(UPPER(Trades!$J50)="",UPPER(Trades!$J50)="NONE"),IF(K52&gt;0,L52*((E52*EXP((I52-F52)*$B$1))*_xlfn.NORM.S.DIST(((LN(E52/J52)-F52*$B$1+G52^2/2*$B$1)/(G52*SQRT($B$1))),TRUE)-(J52*EXP(I52*$B$1))*_xlfn.NORM.S.DIST(((LN(E52/J52)-F52*$B$1+G52^2/2*$B$1)/(G52*SQRT($B$1)))-G52*SQRT($B$1),TRUE)),L52*((J52*EXP(I52*$B$1))*_xlfn.NORM.S.DIST(-(((LN(E52/J52)-F52*$B$1+G52^2/2*$B$1)/(G52*SQRT($B$1)))-G52*SQRT($B$1)),TRUE)-(E52*EXP((I52-F52)*$B$1))*_xlfn.NORM.S.DIST(-((LN(E52/J52)-F52*$B$1+G52^2/2*$B$1)/(G52*SQRT($B$1))),TRUE))),"reset: see AnalyticCheck"))))</f>
        <v/>
      </c>
    </row>
    <row r="53" spans="1:17" x14ac:dyDescent="0.35">
      <c r="A53" t="str">
        <f>IF(Trades!$A51="","",Trades!$A51)</f>
        <v/>
      </c>
      <c r="B53" t="str">
        <f>IF(A53="","",Trades!$C51)</f>
        <v/>
      </c>
      <c r="C53" t="str">
        <f>IF(A53="","",UPPER(Trades!$D51))</f>
        <v/>
      </c>
      <c r="D53" t="str">
        <f>IF(A53="","",Trades!$E51)</f>
        <v/>
      </c>
      <c r="E53" s="13" t="str">
        <f>IF(A53="","",INDEX(Market!$J:$J,MATCH(D53,Market!$A:$A,0)))</f>
        <v/>
      </c>
      <c r="F53" s="13" t="str">
        <f>IF(A53="","",INDEX(Market!$K:$K,MATCH(D53,Market!$A:$A,0)))</f>
        <v/>
      </c>
      <c r="G53" s="13" t="str">
        <f>IF(A53="","",IF(AND(C53="OPTION",Trades!$T51&lt;&gt;""),Trades!$T51,INDEX(Market!$L:$L,MATCH(D53,Market!$A:$A,0))))</f>
        <v/>
      </c>
      <c r="H53" s="13" t="str">
        <f>IF(A53="","",IF(ISNUMBER(IF(C53="OPTION",Trades!$S51,Trades!$I51)),(IF(C53="OPTION",Trades!$S51,Trades!$I51)-Config!$B$2)/365,VALUE(LEFT(IF(C53="OPTION",Trades!$S51,Trades!$I51),LEN(IF(C53="OPTION",Trades!$S51,Trades!$I51))-1))*CHOOSE(MATCH(RIGHT(IF(C53="OPTION",Trades!$S51,Trades!$I51),1),{"D","W","M","Y"},0),1/365,7/365,1/12,1)))</f>
        <v/>
      </c>
      <c r="I53" s="13" t="str">
        <f>IF(A53="","",IFERROR(LOOKUP(2,1/((Curve!$G$2:$G$200=IF(IFERROR(INDEX(Market!$M:$M,MATCH(D53,Market!$A:$A,0))&amp;"","")="",IFERROR(VLOOKUP("reporting_ccy",Config!$A:$B,2,FALSE),""),INDEX(Market!$M:$M,MATCH(D53,Market!$A:$A,0))))*(Curve!$F$2:$F$200&lt;=H53)),Curve!$E$2:$E$200),IFERROR(INDEX(Curve!$E:$E,MATCH(IF(IFERROR(INDEX(Market!$M:$M,MATCH(D53,Market!$A:$A,0))&amp;"","")="",IFERROR(VLOOKUP("reporting_ccy",Config!$A:$B,2,FALSE),""),INDEX(Market!$M:$M,MATCH(D53,Market!$A:$A,0))),Curve!$G:$G,0)),Curve!$E$2)))</f>
        <v/>
      </c>
      <c r="J53" s="13" t="str">
        <f>IF(A53="","",IF(C53="OPTION",IF(ISNUMBER(Trades!$R51),Trades!$R51,IF(RIGHT(Trades!$R51,1)="%",VALUE(SUBSTITUTE(Trades!$R51,"%",""))/100*E53,VALUE(Trades!$R51))),IF(UPPER(Trades!$M51)="AVERAGE",Trades!$N51,E53)))</f>
        <v/>
      </c>
      <c r="K53" s="13" t="str">
        <f>IF(A53="","",IF(OR(UPPER(Trades!$F51)="BUY",UPPER(Trades!$F51)="RECEIVE_EQUITY"),1,-1))</f>
        <v/>
      </c>
      <c r="L53" s="13" t="str">
        <f>IF(A53="","",Trades!$G51)</f>
        <v/>
      </c>
      <c r="M53" s="13" t="str">
        <f>IF(A53="","",(LN(E53/J53)+(I53-F53+G53^2/2)*H53)/(G53*SQRT(H53)))</f>
        <v/>
      </c>
      <c r="N53" s="14" t="str">
        <f>IF(A53="","",IF(C53="OPTION",K53*L53*IF(LEFT(UPPER(Trades!$Q51),1)="C",(E53*EXP(-F53*H53)*_xlfn.NORM.S.DIST(M53,TRUE)-J53*EXP(-I53*H53)*_xlfn.NORM.S.DIST(M53-G53*SQRT(H53),TRUE)),(J53*EXP(-I53*H53)*_xlfn.NORM.S.DIST(-(M53-G53*SQRT(H53)),TRUE)-E53*EXP(-F53*H53)*_xlfn.NORM.S.DIST(-M53,TRUE))),K53*L53*(E53-J53)+IF(UPPER(Trades!$M51)="AVERAGE",0,N(Trades!$O51))-K53*L53*J53*N(Trades!$L51)*H53*365/360*EXP(-I53*H53/2)))</f>
        <v/>
      </c>
      <c r="O53" s="14" t="str">
        <f>IF(A53="","",SUMIFS(LegMTM!$F:$F,LegMTM!$B:$B,A53,LegMTM!$C:$C,B53))</f>
        <v/>
      </c>
      <c r="P53" s="14" t="str">
        <f>IF(A53="","",N53-O53)</f>
        <v/>
      </c>
      <c r="Q53" s="14" t="str">
        <f>IF(A53="","",IF($B$1&gt;=H53,0,IF(C53="OPTION",IF(K53&gt;0,N53*EXP(I53*$B$1),0),IF(OR(UPPER(Trades!$J51)="",UPPER(Trades!$J51)="NONE"),IF(K53&gt;0,L53*((E53*EXP((I53-F53)*$B$1))*_xlfn.NORM.S.DIST(((LN(E53/J53)-F53*$B$1+G53^2/2*$B$1)/(G53*SQRT($B$1))),TRUE)-(J53*EXP(I53*$B$1))*_xlfn.NORM.S.DIST(((LN(E53/J53)-F53*$B$1+G53^2/2*$B$1)/(G53*SQRT($B$1)))-G53*SQRT($B$1),TRUE)),L53*((J53*EXP(I53*$B$1))*_xlfn.NORM.S.DIST(-(((LN(E53/J53)-F53*$B$1+G53^2/2*$B$1)/(G53*SQRT($B$1)))-G53*SQRT($B$1)),TRUE)-(E53*EXP((I53-F53)*$B$1))*_xlfn.NORM.S.DIST(-((LN(E53/J53)-F53*$B$1+G53^2/2*$B$1)/(G53*SQRT($B$1))),TRUE))),"reset: see AnalyticCheck"))))</f>
        <v/>
      </c>
    </row>
    <row r="54" spans="1:17" x14ac:dyDescent="0.35">
      <c r="A54" t="str">
        <f>IF(Trades!$A52="","",Trades!$A52)</f>
        <v/>
      </c>
      <c r="B54" t="str">
        <f>IF(A54="","",Trades!$C52)</f>
        <v/>
      </c>
      <c r="C54" t="str">
        <f>IF(A54="","",UPPER(Trades!$D52))</f>
        <v/>
      </c>
      <c r="D54" t="str">
        <f>IF(A54="","",Trades!$E52)</f>
        <v/>
      </c>
      <c r="E54" s="13" t="str">
        <f>IF(A54="","",INDEX(Market!$J:$J,MATCH(D54,Market!$A:$A,0)))</f>
        <v/>
      </c>
      <c r="F54" s="13" t="str">
        <f>IF(A54="","",INDEX(Market!$K:$K,MATCH(D54,Market!$A:$A,0)))</f>
        <v/>
      </c>
      <c r="G54" s="13" t="str">
        <f>IF(A54="","",IF(AND(C54="OPTION",Trades!$T52&lt;&gt;""),Trades!$T52,INDEX(Market!$L:$L,MATCH(D54,Market!$A:$A,0))))</f>
        <v/>
      </c>
      <c r="H54" s="13" t="str">
        <f>IF(A54="","",IF(ISNUMBER(IF(C54="OPTION",Trades!$S52,Trades!$I52)),(IF(C54="OPTION",Trades!$S52,Trades!$I52)-Config!$B$2)/365,VALUE(LEFT(IF(C54="OPTION",Trades!$S52,Trades!$I52),LEN(IF(C54="OPTION",Trades!$S52,Trades!$I52))-1))*CHOOSE(MATCH(RIGHT(IF(C54="OPTION",Trades!$S52,Trades!$I52),1),{"D","W","M","Y"},0),1/365,7/365,1/12,1)))</f>
        <v/>
      </c>
      <c r="I54" s="13" t="str">
        <f>IF(A54="","",IFERROR(LOOKUP(2,1/((Curve!$G$2:$G$200=IF(IFERROR(INDEX(Market!$M:$M,MATCH(D54,Market!$A:$A,0))&amp;"","")="",IFERROR(VLOOKUP("reporting_ccy",Config!$A:$B,2,FALSE),""),INDEX(Market!$M:$M,MATCH(D54,Market!$A:$A,0))))*(Curve!$F$2:$F$200&lt;=H54)),Curve!$E$2:$E$200),IFERROR(INDEX(Curve!$E:$E,MATCH(IF(IFERROR(INDEX(Market!$M:$M,MATCH(D54,Market!$A:$A,0))&amp;"","")="",IFERROR(VLOOKUP("reporting_ccy",Config!$A:$B,2,FALSE),""),INDEX(Market!$M:$M,MATCH(D54,Market!$A:$A,0))),Curve!$G:$G,0)),Curve!$E$2)))</f>
        <v/>
      </c>
      <c r="J54" s="13" t="str">
        <f>IF(A54="","",IF(C54="OPTION",IF(ISNUMBER(Trades!$R52),Trades!$R52,IF(RIGHT(Trades!$R52,1)="%",VALUE(SUBSTITUTE(Trades!$R52,"%",""))/100*E54,VALUE(Trades!$R52))),IF(UPPER(Trades!$M52)="AVERAGE",Trades!$N52,E54)))</f>
        <v/>
      </c>
      <c r="K54" s="13" t="str">
        <f>IF(A54="","",IF(OR(UPPER(Trades!$F52)="BUY",UPPER(Trades!$F52)="RECEIVE_EQUITY"),1,-1))</f>
        <v/>
      </c>
      <c r="L54" s="13" t="str">
        <f>IF(A54="","",Trades!$G52)</f>
        <v/>
      </c>
      <c r="M54" s="13" t="str">
        <f>IF(A54="","",(LN(E54/J54)+(I54-F54+G54^2/2)*H54)/(G54*SQRT(H54)))</f>
        <v/>
      </c>
      <c r="N54" s="14" t="str">
        <f>IF(A54="","",IF(C54="OPTION",K54*L54*IF(LEFT(UPPER(Trades!$Q52),1)="C",(E54*EXP(-F54*H54)*_xlfn.NORM.S.DIST(M54,TRUE)-J54*EXP(-I54*H54)*_xlfn.NORM.S.DIST(M54-G54*SQRT(H54),TRUE)),(J54*EXP(-I54*H54)*_xlfn.NORM.S.DIST(-(M54-G54*SQRT(H54)),TRUE)-E54*EXP(-F54*H54)*_xlfn.NORM.S.DIST(-M54,TRUE))),K54*L54*(E54-J54)+IF(UPPER(Trades!$M52)="AVERAGE",0,N(Trades!$O52))-K54*L54*J54*N(Trades!$L52)*H54*365/360*EXP(-I54*H54/2)))</f>
        <v/>
      </c>
      <c r="O54" s="14" t="str">
        <f>IF(A54="","",SUMIFS(LegMTM!$F:$F,LegMTM!$B:$B,A54,LegMTM!$C:$C,B54))</f>
        <v/>
      </c>
      <c r="P54" s="14" t="str">
        <f>IF(A54="","",N54-O54)</f>
        <v/>
      </c>
      <c r="Q54" s="14" t="str">
        <f>IF(A54="","",IF($B$1&gt;=H54,0,IF(C54="OPTION",IF(K54&gt;0,N54*EXP(I54*$B$1),0),IF(OR(UPPER(Trades!$J52)="",UPPER(Trades!$J52)="NONE"),IF(K54&gt;0,L54*((E54*EXP((I54-F54)*$B$1))*_xlfn.NORM.S.DIST(((LN(E54/J54)-F54*$B$1+G54^2/2*$B$1)/(G54*SQRT($B$1))),TRUE)-(J54*EXP(I54*$B$1))*_xlfn.NORM.S.DIST(((LN(E54/J54)-F54*$B$1+G54^2/2*$B$1)/(G54*SQRT($B$1)))-G54*SQRT($B$1),TRUE)),L54*((J54*EXP(I54*$B$1))*_xlfn.NORM.S.DIST(-(((LN(E54/J54)-F54*$B$1+G54^2/2*$B$1)/(G54*SQRT($B$1)))-G54*SQRT($B$1)),TRUE)-(E54*EXP((I54-F54)*$B$1))*_xlfn.NORM.S.DIST(-((LN(E54/J54)-F54*$B$1+G54^2/2*$B$1)/(G54*SQRT($B$1))),TRUE))),"reset: see AnalyticCheck"))))</f>
        <v/>
      </c>
    </row>
    <row r="55" spans="1:17" x14ac:dyDescent="0.35">
      <c r="A55" t="str">
        <f>IF(Trades!$A53="","",Trades!$A53)</f>
        <v/>
      </c>
      <c r="B55" t="str">
        <f>IF(A55="","",Trades!$C53)</f>
        <v/>
      </c>
      <c r="C55" t="str">
        <f>IF(A55="","",UPPER(Trades!$D53))</f>
        <v/>
      </c>
      <c r="D55" t="str">
        <f>IF(A55="","",Trades!$E53)</f>
        <v/>
      </c>
      <c r="E55" s="13" t="str">
        <f>IF(A55="","",INDEX(Market!$J:$J,MATCH(D55,Market!$A:$A,0)))</f>
        <v/>
      </c>
      <c r="F55" s="13" t="str">
        <f>IF(A55="","",INDEX(Market!$K:$K,MATCH(D55,Market!$A:$A,0)))</f>
        <v/>
      </c>
      <c r="G55" s="13" t="str">
        <f>IF(A55="","",IF(AND(C55="OPTION",Trades!$T53&lt;&gt;""),Trades!$T53,INDEX(Market!$L:$L,MATCH(D55,Market!$A:$A,0))))</f>
        <v/>
      </c>
      <c r="H55" s="13" t="str">
        <f>IF(A55="","",IF(ISNUMBER(IF(C55="OPTION",Trades!$S53,Trades!$I53)),(IF(C55="OPTION",Trades!$S53,Trades!$I53)-Config!$B$2)/365,VALUE(LEFT(IF(C55="OPTION",Trades!$S53,Trades!$I53),LEN(IF(C55="OPTION",Trades!$S53,Trades!$I53))-1))*CHOOSE(MATCH(RIGHT(IF(C55="OPTION",Trades!$S53,Trades!$I53),1),{"D","W","M","Y"},0),1/365,7/365,1/12,1)))</f>
        <v/>
      </c>
      <c r="I55" s="13" t="str">
        <f>IF(A55="","",IFERROR(LOOKUP(2,1/((Curve!$G$2:$G$200=IF(IFERROR(INDEX(Market!$M:$M,MATCH(D55,Market!$A:$A,0))&amp;"","")="",IFERROR(VLOOKUP("reporting_ccy",Config!$A:$B,2,FALSE),""),INDEX(Market!$M:$M,MATCH(D55,Market!$A:$A,0))))*(Curve!$F$2:$F$200&lt;=H55)),Curve!$E$2:$E$200),IFERROR(INDEX(Curve!$E:$E,MATCH(IF(IFERROR(INDEX(Market!$M:$M,MATCH(D55,Market!$A:$A,0))&amp;"","")="",IFERROR(VLOOKUP("reporting_ccy",Config!$A:$B,2,FALSE),""),INDEX(Market!$M:$M,MATCH(D55,Market!$A:$A,0))),Curve!$G:$G,0)),Curve!$E$2)))</f>
        <v/>
      </c>
      <c r="J55" s="13" t="str">
        <f>IF(A55="","",IF(C55="OPTION",IF(ISNUMBER(Trades!$R53),Trades!$R53,IF(RIGHT(Trades!$R53,1)="%",VALUE(SUBSTITUTE(Trades!$R53,"%",""))/100*E55,VALUE(Trades!$R53))),IF(UPPER(Trades!$M53)="AVERAGE",Trades!$N53,E55)))</f>
        <v/>
      </c>
      <c r="K55" s="13" t="str">
        <f>IF(A55="","",IF(OR(UPPER(Trades!$F53)="BUY",UPPER(Trades!$F53)="RECEIVE_EQUITY"),1,-1))</f>
        <v/>
      </c>
      <c r="L55" s="13" t="str">
        <f>IF(A55="","",Trades!$G53)</f>
        <v/>
      </c>
      <c r="M55" s="13" t="str">
        <f>IF(A55="","",(LN(E55/J55)+(I55-F55+G55^2/2)*H55)/(G55*SQRT(H55)))</f>
        <v/>
      </c>
      <c r="N55" s="14" t="str">
        <f>IF(A55="","",IF(C55="OPTION",K55*L55*IF(LEFT(UPPER(Trades!$Q53),1)="C",(E55*EXP(-F55*H55)*_xlfn.NORM.S.DIST(M55,TRUE)-J55*EXP(-I55*H55)*_xlfn.NORM.S.DIST(M55-G55*SQRT(H55),TRUE)),(J55*EXP(-I55*H55)*_xlfn.NORM.S.DIST(-(M55-G55*SQRT(H55)),TRUE)-E55*EXP(-F55*H55)*_xlfn.NORM.S.DIST(-M55,TRUE))),K55*L55*(E55-J55)+IF(UPPER(Trades!$M53)="AVERAGE",0,N(Trades!$O53))-K55*L55*J55*N(Trades!$L53)*H55*365/360*EXP(-I55*H55/2)))</f>
        <v/>
      </c>
      <c r="O55" s="14" t="str">
        <f>IF(A55="","",SUMIFS(LegMTM!$F:$F,LegMTM!$B:$B,A55,LegMTM!$C:$C,B55))</f>
        <v/>
      </c>
      <c r="P55" s="14" t="str">
        <f>IF(A55="","",N55-O55)</f>
        <v/>
      </c>
      <c r="Q55" s="14" t="str">
        <f>IF(A55="","",IF($B$1&gt;=H55,0,IF(C55="OPTION",IF(K55&gt;0,N55*EXP(I55*$B$1),0),IF(OR(UPPER(Trades!$J53)="",UPPER(Trades!$J53)="NONE"),IF(K55&gt;0,L55*((E55*EXP((I55-F55)*$B$1))*_xlfn.NORM.S.DIST(((LN(E55/J55)-F55*$B$1+G55^2/2*$B$1)/(G55*SQRT($B$1))),TRUE)-(J55*EXP(I55*$B$1))*_xlfn.NORM.S.DIST(((LN(E55/J55)-F55*$B$1+G55^2/2*$B$1)/(G55*SQRT($B$1)))-G55*SQRT($B$1),TRUE)),L55*((J55*EXP(I55*$B$1))*_xlfn.NORM.S.DIST(-(((LN(E55/J55)-F55*$B$1+G55^2/2*$B$1)/(G55*SQRT($B$1)))-G55*SQRT($B$1)),TRUE)-(E55*EXP((I55-F55)*$B$1))*_xlfn.NORM.S.DIST(-((LN(E55/J55)-F55*$B$1+G55^2/2*$B$1)/(G55*SQRT($B$1))),TRUE))),"reset: see AnalyticCheck"))))</f>
        <v/>
      </c>
    </row>
    <row r="56" spans="1:17" x14ac:dyDescent="0.35">
      <c r="A56" t="str">
        <f>IF(Trades!$A54="","",Trades!$A54)</f>
        <v/>
      </c>
      <c r="B56" t="str">
        <f>IF(A56="","",Trades!$C54)</f>
        <v/>
      </c>
      <c r="C56" t="str">
        <f>IF(A56="","",UPPER(Trades!$D54))</f>
        <v/>
      </c>
      <c r="D56" t="str">
        <f>IF(A56="","",Trades!$E54)</f>
        <v/>
      </c>
      <c r="E56" s="13" t="str">
        <f>IF(A56="","",INDEX(Market!$J:$J,MATCH(D56,Market!$A:$A,0)))</f>
        <v/>
      </c>
      <c r="F56" s="13" t="str">
        <f>IF(A56="","",INDEX(Market!$K:$K,MATCH(D56,Market!$A:$A,0)))</f>
        <v/>
      </c>
      <c r="G56" s="13" t="str">
        <f>IF(A56="","",IF(AND(C56="OPTION",Trades!$T54&lt;&gt;""),Trades!$T54,INDEX(Market!$L:$L,MATCH(D56,Market!$A:$A,0))))</f>
        <v/>
      </c>
      <c r="H56" s="13" t="str">
        <f>IF(A56="","",IF(ISNUMBER(IF(C56="OPTION",Trades!$S54,Trades!$I54)),(IF(C56="OPTION",Trades!$S54,Trades!$I54)-Config!$B$2)/365,VALUE(LEFT(IF(C56="OPTION",Trades!$S54,Trades!$I54),LEN(IF(C56="OPTION",Trades!$S54,Trades!$I54))-1))*CHOOSE(MATCH(RIGHT(IF(C56="OPTION",Trades!$S54,Trades!$I54),1),{"D","W","M","Y"},0),1/365,7/365,1/12,1)))</f>
        <v/>
      </c>
      <c r="I56" s="13" t="str">
        <f>IF(A56="","",IFERROR(LOOKUP(2,1/((Curve!$G$2:$G$200=IF(IFERROR(INDEX(Market!$M:$M,MATCH(D56,Market!$A:$A,0))&amp;"","")="",IFERROR(VLOOKUP("reporting_ccy",Config!$A:$B,2,FALSE),""),INDEX(Market!$M:$M,MATCH(D56,Market!$A:$A,0))))*(Curve!$F$2:$F$200&lt;=H56)),Curve!$E$2:$E$200),IFERROR(INDEX(Curve!$E:$E,MATCH(IF(IFERROR(INDEX(Market!$M:$M,MATCH(D56,Market!$A:$A,0))&amp;"","")="",IFERROR(VLOOKUP("reporting_ccy",Config!$A:$B,2,FALSE),""),INDEX(Market!$M:$M,MATCH(D56,Market!$A:$A,0))),Curve!$G:$G,0)),Curve!$E$2)))</f>
        <v/>
      </c>
      <c r="J56" s="13" t="str">
        <f>IF(A56="","",IF(C56="OPTION",IF(ISNUMBER(Trades!$R54),Trades!$R54,IF(RIGHT(Trades!$R54,1)="%",VALUE(SUBSTITUTE(Trades!$R54,"%",""))/100*E56,VALUE(Trades!$R54))),IF(UPPER(Trades!$M54)="AVERAGE",Trades!$N54,E56)))</f>
        <v/>
      </c>
      <c r="K56" s="13" t="str">
        <f>IF(A56="","",IF(OR(UPPER(Trades!$F54)="BUY",UPPER(Trades!$F54)="RECEIVE_EQUITY"),1,-1))</f>
        <v/>
      </c>
      <c r="L56" s="13" t="str">
        <f>IF(A56="","",Trades!$G54)</f>
        <v/>
      </c>
      <c r="M56" s="13" t="str">
        <f>IF(A56="","",(LN(E56/J56)+(I56-F56+G56^2/2)*H56)/(G56*SQRT(H56)))</f>
        <v/>
      </c>
      <c r="N56" s="14" t="str">
        <f>IF(A56="","",IF(C56="OPTION",K56*L56*IF(LEFT(UPPER(Trades!$Q54),1)="C",(E56*EXP(-F56*H56)*_xlfn.NORM.S.DIST(M56,TRUE)-J56*EXP(-I56*H56)*_xlfn.NORM.S.DIST(M56-G56*SQRT(H56),TRUE)),(J56*EXP(-I56*H56)*_xlfn.NORM.S.DIST(-(M56-G56*SQRT(H56)),TRUE)-E56*EXP(-F56*H56)*_xlfn.NORM.S.DIST(-M56,TRUE))),K56*L56*(E56-J56)+IF(UPPER(Trades!$M54)="AVERAGE",0,N(Trades!$O54))-K56*L56*J56*N(Trades!$L54)*H56*365/360*EXP(-I56*H56/2)))</f>
        <v/>
      </c>
      <c r="O56" s="14" t="str">
        <f>IF(A56="","",SUMIFS(LegMTM!$F:$F,LegMTM!$B:$B,A56,LegMTM!$C:$C,B56))</f>
        <v/>
      </c>
      <c r="P56" s="14" t="str">
        <f>IF(A56="","",N56-O56)</f>
        <v/>
      </c>
      <c r="Q56" s="14" t="str">
        <f>IF(A56="","",IF($B$1&gt;=H56,0,IF(C56="OPTION",IF(K56&gt;0,N56*EXP(I56*$B$1),0),IF(OR(UPPER(Trades!$J54)="",UPPER(Trades!$J54)="NONE"),IF(K56&gt;0,L56*((E56*EXP((I56-F56)*$B$1))*_xlfn.NORM.S.DIST(((LN(E56/J56)-F56*$B$1+G56^2/2*$B$1)/(G56*SQRT($B$1))),TRUE)-(J56*EXP(I56*$B$1))*_xlfn.NORM.S.DIST(((LN(E56/J56)-F56*$B$1+G56^2/2*$B$1)/(G56*SQRT($B$1)))-G56*SQRT($B$1),TRUE)),L56*((J56*EXP(I56*$B$1))*_xlfn.NORM.S.DIST(-(((LN(E56/J56)-F56*$B$1+G56^2/2*$B$1)/(G56*SQRT($B$1)))-G56*SQRT($B$1)),TRUE)-(E56*EXP((I56-F56)*$B$1))*_xlfn.NORM.S.DIST(-((LN(E56/J56)-F56*$B$1+G56^2/2*$B$1)/(G56*SQRT($B$1))),TRUE))),"reset: see AnalyticCheck"))))</f>
        <v/>
      </c>
    </row>
    <row r="57" spans="1:17" x14ac:dyDescent="0.35">
      <c r="A57" t="str">
        <f>IF(Trades!$A55="","",Trades!$A55)</f>
        <v/>
      </c>
      <c r="B57" t="str">
        <f>IF(A57="","",Trades!$C55)</f>
        <v/>
      </c>
      <c r="C57" t="str">
        <f>IF(A57="","",UPPER(Trades!$D55))</f>
        <v/>
      </c>
      <c r="D57" t="str">
        <f>IF(A57="","",Trades!$E55)</f>
        <v/>
      </c>
      <c r="E57" s="13" t="str">
        <f>IF(A57="","",INDEX(Market!$J:$J,MATCH(D57,Market!$A:$A,0)))</f>
        <v/>
      </c>
      <c r="F57" s="13" t="str">
        <f>IF(A57="","",INDEX(Market!$K:$K,MATCH(D57,Market!$A:$A,0)))</f>
        <v/>
      </c>
      <c r="G57" s="13" t="str">
        <f>IF(A57="","",IF(AND(C57="OPTION",Trades!$T55&lt;&gt;""),Trades!$T55,INDEX(Market!$L:$L,MATCH(D57,Market!$A:$A,0))))</f>
        <v/>
      </c>
      <c r="H57" s="13" t="str">
        <f>IF(A57="","",IF(ISNUMBER(IF(C57="OPTION",Trades!$S55,Trades!$I55)),(IF(C57="OPTION",Trades!$S55,Trades!$I55)-Config!$B$2)/365,VALUE(LEFT(IF(C57="OPTION",Trades!$S55,Trades!$I55),LEN(IF(C57="OPTION",Trades!$S55,Trades!$I55))-1))*CHOOSE(MATCH(RIGHT(IF(C57="OPTION",Trades!$S55,Trades!$I55),1),{"D","W","M","Y"},0),1/365,7/365,1/12,1)))</f>
        <v/>
      </c>
      <c r="I57" s="13" t="str">
        <f>IF(A57="","",IFERROR(LOOKUP(2,1/((Curve!$G$2:$G$200=IF(IFERROR(INDEX(Market!$M:$M,MATCH(D57,Market!$A:$A,0))&amp;"","")="",IFERROR(VLOOKUP("reporting_ccy",Config!$A:$B,2,FALSE),""),INDEX(Market!$M:$M,MATCH(D57,Market!$A:$A,0))))*(Curve!$F$2:$F$200&lt;=H57)),Curve!$E$2:$E$200),IFERROR(INDEX(Curve!$E:$E,MATCH(IF(IFERROR(INDEX(Market!$M:$M,MATCH(D57,Market!$A:$A,0))&amp;"","")="",IFERROR(VLOOKUP("reporting_ccy",Config!$A:$B,2,FALSE),""),INDEX(Market!$M:$M,MATCH(D57,Market!$A:$A,0))),Curve!$G:$G,0)),Curve!$E$2)))</f>
        <v/>
      </c>
      <c r="J57" s="13" t="str">
        <f>IF(A57="","",IF(C57="OPTION",IF(ISNUMBER(Trades!$R55),Trades!$R55,IF(RIGHT(Trades!$R55,1)="%",VALUE(SUBSTITUTE(Trades!$R55,"%",""))/100*E57,VALUE(Trades!$R55))),IF(UPPER(Trades!$M55)="AVERAGE",Trades!$N55,E57)))</f>
        <v/>
      </c>
      <c r="K57" s="13" t="str">
        <f>IF(A57="","",IF(OR(UPPER(Trades!$F55)="BUY",UPPER(Trades!$F55)="RECEIVE_EQUITY"),1,-1))</f>
        <v/>
      </c>
      <c r="L57" s="13" t="str">
        <f>IF(A57="","",Trades!$G55)</f>
        <v/>
      </c>
      <c r="M57" s="13" t="str">
        <f>IF(A57="","",(LN(E57/J57)+(I57-F57+G57^2/2)*H57)/(G57*SQRT(H57)))</f>
        <v/>
      </c>
      <c r="N57" s="14" t="str">
        <f>IF(A57="","",IF(C57="OPTION",K57*L57*IF(LEFT(UPPER(Trades!$Q55),1)="C",(E57*EXP(-F57*H57)*_xlfn.NORM.S.DIST(M57,TRUE)-J57*EXP(-I57*H57)*_xlfn.NORM.S.DIST(M57-G57*SQRT(H57),TRUE)),(J57*EXP(-I57*H57)*_xlfn.NORM.S.DIST(-(M57-G57*SQRT(H57)),TRUE)-E57*EXP(-F57*H57)*_xlfn.NORM.S.DIST(-M57,TRUE))),K57*L57*(E57-J57)+IF(UPPER(Trades!$M55)="AVERAGE",0,N(Trades!$O55))-K57*L57*J57*N(Trades!$L55)*H57*365/360*EXP(-I57*H57/2)))</f>
        <v/>
      </c>
      <c r="O57" s="14" t="str">
        <f>IF(A57="","",SUMIFS(LegMTM!$F:$F,LegMTM!$B:$B,A57,LegMTM!$C:$C,B57))</f>
        <v/>
      </c>
      <c r="P57" s="14" t="str">
        <f>IF(A57="","",N57-O57)</f>
        <v/>
      </c>
      <c r="Q57" s="14" t="str">
        <f>IF(A57="","",IF($B$1&gt;=H57,0,IF(C57="OPTION",IF(K57&gt;0,N57*EXP(I57*$B$1),0),IF(OR(UPPER(Trades!$J55)="",UPPER(Trades!$J55)="NONE"),IF(K57&gt;0,L57*((E57*EXP((I57-F57)*$B$1))*_xlfn.NORM.S.DIST(((LN(E57/J57)-F57*$B$1+G57^2/2*$B$1)/(G57*SQRT($B$1))),TRUE)-(J57*EXP(I57*$B$1))*_xlfn.NORM.S.DIST(((LN(E57/J57)-F57*$B$1+G57^2/2*$B$1)/(G57*SQRT($B$1)))-G57*SQRT($B$1),TRUE)),L57*((J57*EXP(I57*$B$1))*_xlfn.NORM.S.DIST(-(((LN(E57/J57)-F57*$B$1+G57^2/2*$B$1)/(G57*SQRT($B$1)))-G57*SQRT($B$1)),TRUE)-(E57*EXP((I57-F57)*$B$1))*_xlfn.NORM.S.DIST(-((LN(E57/J57)-F57*$B$1+G57^2/2*$B$1)/(G57*SQRT($B$1))),TRUE))),"reset: see AnalyticCheck"))))</f>
        <v/>
      </c>
    </row>
    <row r="58" spans="1:17" x14ac:dyDescent="0.35">
      <c r="A58" t="str">
        <f>IF(Trades!$A56="","",Trades!$A56)</f>
        <v/>
      </c>
      <c r="B58" t="str">
        <f>IF(A58="","",Trades!$C56)</f>
        <v/>
      </c>
      <c r="C58" t="str">
        <f>IF(A58="","",UPPER(Trades!$D56))</f>
        <v/>
      </c>
      <c r="D58" t="str">
        <f>IF(A58="","",Trades!$E56)</f>
        <v/>
      </c>
      <c r="E58" s="13" t="str">
        <f>IF(A58="","",INDEX(Market!$J:$J,MATCH(D58,Market!$A:$A,0)))</f>
        <v/>
      </c>
      <c r="F58" s="13" t="str">
        <f>IF(A58="","",INDEX(Market!$K:$K,MATCH(D58,Market!$A:$A,0)))</f>
        <v/>
      </c>
      <c r="G58" s="13" t="str">
        <f>IF(A58="","",IF(AND(C58="OPTION",Trades!$T56&lt;&gt;""),Trades!$T56,INDEX(Market!$L:$L,MATCH(D58,Market!$A:$A,0))))</f>
        <v/>
      </c>
      <c r="H58" s="13" t="str">
        <f>IF(A58="","",IF(ISNUMBER(IF(C58="OPTION",Trades!$S56,Trades!$I56)),(IF(C58="OPTION",Trades!$S56,Trades!$I56)-Config!$B$2)/365,VALUE(LEFT(IF(C58="OPTION",Trades!$S56,Trades!$I56),LEN(IF(C58="OPTION",Trades!$S56,Trades!$I56))-1))*CHOOSE(MATCH(RIGHT(IF(C58="OPTION",Trades!$S56,Trades!$I56),1),{"D","W","M","Y"},0),1/365,7/365,1/12,1)))</f>
        <v/>
      </c>
      <c r="I58" s="13" t="str">
        <f>IF(A58="","",IFERROR(LOOKUP(2,1/((Curve!$G$2:$G$200=IF(IFERROR(INDEX(Market!$M:$M,MATCH(D58,Market!$A:$A,0))&amp;"","")="",IFERROR(VLOOKUP("reporting_ccy",Config!$A:$B,2,FALSE),""),INDEX(Market!$M:$M,MATCH(D58,Market!$A:$A,0))))*(Curve!$F$2:$F$200&lt;=H58)),Curve!$E$2:$E$200),IFERROR(INDEX(Curve!$E:$E,MATCH(IF(IFERROR(INDEX(Market!$M:$M,MATCH(D58,Market!$A:$A,0))&amp;"","")="",IFERROR(VLOOKUP("reporting_ccy",Config!$A:$B,2,FALSE),""),INDEX(Market!$M:$M,MATCH(D58,Market!$A:$A,0))),Curve!$G:$G,0)),Curve!$E$2)))</f>
        <v/>
      </c>
      <c r="J58" s="13" t="str">
        <f>IF(A58="","",IF(C58="OPTION",IF(ISNUMBER(Trades!$R56),Trades!$R56,IF(RIGHT(Trades!$R56,1)="%",VALUE(SUBSTITUTE(Trades!$R56,"%",""))/100*E58,VALUE(Trades!$R56))),IF(UPPER(Trades!$M56)="AVERAGE",Trades!$N56,E58)))</f>
        <v/>
      </c>
      <c r="K58" s="13" t="str">
        <f>IF(A58="","",IF(OR(UPPER(Trades!$F56)="BUY",UPPER(Trades!$F56)="RECEIVE_EQUITY"),1,-1))</f>
        <v/>
      </c>
      <c r="L58" s="13" t="str">
        <f>IF(A58="","",Trades!$G56)</f>
        <v/>
      </c>
      <c r="M58" s="13" t="str">
        <f>IF(A58="","",(LN(E58/J58)+(I58-F58+G58^2/2)*H58)/(G58*SQRT(H58)))</f>
        <v/>
      </c>
      <c r="N58" s="14" t="str">
        <f>IF(A58="","",IF(C58="OPTION",K58*L58*IF(LEFT(UPPER(Trades!$Q56),1)="C",(E58*EXP(-F58*H58)*_xlfn.NORM.S.DIST(M58,TRUE)-J58*EXP(-I58*H58)*_xlfn.NORM.S.DIST(M58-G58*SQRT(H58),TRUE)),(J58*EXP(-I58*H58)*_xlfn.NORM.S.DIST(-(M58-G58*SQRT(H58)),TRUE)-E58*EXP(-F58*H58)*_xlfn.NORM.S.DIST(-M58,TRUE))),K58*L58*(E58-J58)+IF(UPPER(Trades!$M56)="AVERAGE",0,N(Trades!$O56))-K58*L58*J58*N(Trades!$L56)*H58*365/360*EXP(-I58*H58/2)))</f>
        <v/>
      </c>
      <c r="O58" s="14" t="str">
        <f>IF(A58="","",SUMIFS(LegMTM!$F:$F,LegMTM!$B:$B,A58,LegMTM!$C:$C,B58))</f>
        <v/>
      </c>
      <c r="P58" s="14" t="str">
        <f>IF(A58="","",N58-O58)</f>
        <v/>
      </c>
      <c r="Q58" s="14" t="str">
        <f>IF(A58="","",IF($B$1&gt;=H58,0,IF(C58="OPTION",IF(K58&gt;0,N58*EXP(I58*$B$1),0),IF(OR(UPPER(Trades!$J56)="",UPPER(Trades!$J56)="NONE"),IF(K58&gt;0,L58*((E58*EXP((I58-F58)*$B$1))*_xlfn.NORM.S.DIST(((LN(E58/J58)-F58*$B$1+G58^2/2*$B$1)/(G58*SQRT($B$1))),TRUE)-(J58*EXP(I58*$B$1))*_xlfn.NORM.S.DIST(((LN(E58/J58)-F58*$B$1+G58^2/2*$B$1)/(G58*SQRT($B$1)))-G58*SQRT($B$1),TRUE)),L58*((J58*EXP(I58*$B$1))*_xlfn.NORM.S.DIST(-(((LN(E58/J58)-F58*$B$1+G58^2/2*$B$1)/(G58*SQRT($B$1)))-G58*SQRT($B$1)),TRUE)-(E58*EXP((I58-F58)*$B$1))*_xlfn.NORM.S.DIST(-((LN(E58/J58)-F58*$B$1+G58^2/2*$B$1)/(G58*SQRT($B$1))),TRUE))),"reset: see AnalyticCheck"))))</f>
        <v/>
      </c>
    </row>
    <row r="59" spans="1:17" x14ac:dyDescent="0.35">
      <c r="A59" t="str">
        <f>IF(Trades!$A57="","",Trades!$A57)</f>
        <v/>
      </c>
      <c r="B59" t="str">
        <f>IF(A59="","",Trades!$C57)</f>
        <v/>
      </c>
      <c r="C59" t="str">
        <f>IF(A59="","",UPPER(Trades!$D57))</f>
        <v/>
      </c>
      <c r="D59" t="str">
        <f>IF(A59="","",Trades!$E57)</f>
        <v/>
      </c>
      <c r="E59" s="13" t="str">
        <f>IF(A59="","",INDEX(Market!$J:$J,MATCH(D59,Market!$A:$A,0)))</f>
        <v/>
      </c>
      <c r="F59" s="13" t="str">
        <f>IF(A59="","",INDEX(Market!$K:$K,MATCH(D59,Market!$A:$A,0)))</f>
        <v/>
      </c>
      <c r="G59" s="13" t="str">
        <f>IF(A59="","",IF(AND(C59="OPTION",Trades!$T57&lt;&gt;""),Trades!$T57,INDEX(Market!$L:$L,MATCH(D59,Market!$A:$A,0))))</f>
        <v/>
      </c>
      <c r="H59" s="13" t="str">
        <f>IF(A59="","",IF(ISNUMBER(IF(C59="OPTION",Trades!$S57,Trades!$I57)),(IF(C59="OPTION",Trades!$S57,Trades!$I57)-Config!$B$2)/365,VALUE(LEFT(IF(C59="OPTION",Trades!$S57,Trades!$I57),LEN(IF(C59="OPTION",Trades!$S57,Trades!$I57))-1))*CHOOSE(MATCH(RIGHT(IF(C59="OPTION",Trades!$S57,Trades!$I57),1),{"D","W","M","Y"},0),1/365,7/365,1/12,1)))</f>
        <v/>
      </c>
      <c r="I59" s="13" t="str">
        <f>IF(A59="","",IFERROR(LOOKUP(2,1/((Curve!$G$2:$G$200=IF(IFERROR(INDEX(Market!$M:$M,MATCH(D59,Market!$A:$A,0))&amp;"","")="",IFERROR(VLOOKUP("reporting_ccy",Config!$A:$B,2,FALSE),""),INDEX(Market!$M:$M,MATCH(D59,Market!$A:$A,0))))*(Curve!$F$2:$F$200&lt;=H59)),Curve!$E$2:$E$200),IFERROR(INDEX(Curve!$E:$E,MATCH(IF(IFERROR(INDEX(Market!$M:$M,MATCH(D59,Market!$A:$A,0))&amp;"","")="",IFERROR(VLOOKUP("reporting_ccy",Config!$A:$B,2,FALSE),""),INDEX(Market!$M:$M,MATCH(D59,Market!$A:$A,0))),Curve!$G:$G,0)),Curve!$E$2)))</f>
        <v/>
      </c>
      <c r="J59" s="13" t="str">
        <f>IF(A59="","",IF(C59="OPTION",IF(ISNUMBER(Trades!$R57),Trades!$R57,IF(RIGHT(Trades!$R57,1)="%",VALUE(SUBSTITUTE(Trades!$R57,"%",""))/100*E59,VALUE(Trades!$R57))),IF(UPPER(Trades!$M57)="AVERAGE",Trades!$N57,E59)))</f>
        <v/>
      </c>
      <c r="K59" s="13" t="str">
        <f>IF(A59="","",IF(OR(UPPER(Trades!$F57)="BUY",UPPER(Trades!$F57)="RECEIVE_EQUITY"),1,-1))</f>
        <v/>
      </c>
      <c r="L59" s="13" t="str">
        <f>IF(A59="","",Trades!$G57)</f>
        <v/>
      </c>
      <c r="M59" s="13" t="str">
        <f>IF(A59="","",(LN(E59/J59)+(I59-F59+G59^2/2)*H59)/(G59*SQRT(H59)))</f>
        <v/>
      </c>
      <c r="N59" s="14" t="str">
        <f>IF(A59="","",IF(C59="OPTION",K59*L59*IF(LEFT(UPPER(Trades!$Q57),1)="C",(E59*EXP(-F59*H59)*_xlfn.NORM.S.DIST(M59,TRUE)-J59*EXP(-I59*H59)*_xlfn.NORM.S.DIST(M59-G59*SQRT(H59),TRUE)),(J59*EXP(-I59*H59)*_xlfn.NORM.S.DIST(-(M59-G59*SQRT(H59)),TRUE)-E59*EXP(-F59*H59)*_xlfn.NORM.S.DIST(-M59,TRUE))),K59*L59*(E59-J59)+IF(UPPER(Trades!$M57)="AVERAGE",0,N(Trades!$O57))-K59*L59*J59*N(Trades!$L57)*H59*365/360*EXP(-I59*H59/2)))</f>
        <v/>
      </c>
      <c r="O59" s="14" t="str">
        <f>IF(A59="","",SUMIFS(LegMTM!$F:$F,LegMTM!$B:$B,A59,LegMTM!$C:$C,B59))</f>
        <v/>
      </c>
      <c r="P59" s="14" t="str">
        <f>IF(A59="","",N59-O59)</f>
        <v/>
      </c>
      <c r="Q59" s="14" t="str">
        <f>IF(A59="","",IF($B$1&gt;=H59,0,IF(C59="OPTION",IF(K59&gt;0,N59*EXP(I59*$B$1),0),IF(OR(UPPER(Trades!$J57)="",UPPER(Trades!$J57)="NONE"),IF(K59&gt;0,L59*((E59*EXP((I59-F59)*$B$1))*_xlfn.NORM.S.DIST(((LN(E59/J59)-F59*$B$1+G59^2/2*$B$1)/(G59*SQRT($B$1))),TRUE)-(J59*EXP(I59*$B$1))*_xlfn.NORM.S.DIST(((LN(E59/J59)-F59*$B$1+G59^2/2*$B$1)/(G59*SQRT($B$1)))-G59*SQRT($B$1),TRUE)),L59*((J59*EXP(I59*$B$1))*_xlfn.NORM.S.DIST(-(((LN(E59/J59)-F59*$B$1+G59^2/2*$B$1)/(G59*SQRT($B$1)))-G59*SQRT($B$1)),TRUE)-(E59*EXP((I59-F59)*$B$1))*_xlfn.NORM.S.DIST(-((LN(E59/J59)-F59*$B$1+G59^2/2*$B$1)/(G59*SQRT($B$1))),TRUE))),"reset: see AnalyticCheck"))))</f>
        <v/>
      </c>
    </row>
    <row r="60" spans="1:17" x14ac:dyDescent="0.35">
      <c r="A60" t="str">
        <f>IF(Trades!$A58="","",Trades!$A58)</f>
        <v/>
      </c>
      <c r="B60" t="str">
        <f>IF(A60="","",Trades!$C58)</f>
        <v/>
      </c>
      <c r="C60" t="str">
        <f>IF(A60="","",UPPER(Trades!$D58))</f>
        <v/>
      </c>
      <c r="D60" t="str">
        <f>IF(A60="","",Trades!$E58)</f>
        <v/>
      </c>
      <c r="E60" s="13" t="str">
        <f>IF(A60="","",INDEX(Market!$J:$J,MATCH(D60,Market!$A:$A,0)))</f>
        <v/>
      </c>
      <c r="F60" s="13" t="str">
        <f>IF(A60="","",INDEX(Market!$K:$K,MATCH(D60,Market!$A:$A,0)))</f>
        <v/>
      </c>
      <c r="G60" s="13" t="str">
        <f>IF(A60="","",IF(AND(C60="OPTION",Trades!$T58&lt;&gt;""),Trades!$T58,INDEX(Market!$L:$L,MATCH(D60,Market!$A:$A,0))))</f>
        <v/>
      </c>
      <c r="H60" s="13" t="str">
        <f>IF(A60="","",IF(ISNUMBER(IF(C60="OPTION",Trades!$S58,Trades!$I58)),(IF(C60="OPTION",Trades!$S58,Trades!$I58)-Config!$B$2)/365,VALUE(LEFT(IF(C60="OPTION",Trades!$S58,Trades!$I58),LEN(IF(C60="OPTION",Trades!$S58,Trades!$I58))-1))*CHOOSE(MATCH(RIGHT(IF(C60="OPTION",Trades!$S58,Trades!$I58),1),{"D","W","M","Y"},0),1/365,7/365,1/12,1)))</f>
        <v/>
      </c>
      <c r="I60" s="13" t="str">
        <f>IF(A60="","",IFERROR(LOOKUP(2,1/((Curve!$G$2:$G$200=IF(IFERROR(INDEX(Market!$M:$M,MATCH(D60,Market!$A:$A,0))&amp;"","")="",IFERROR(VLOOKUP("reporting_ccy",Config!$A:$B,2,FALSE),""),INDEX(Market!$M:$M,MATCH(D60,Market!$A:$A,0))))*(Curve!$F$2:$F$200&lt;=H60)),Curve!$E$2:$E$200),IFERROR(INDEX(Curve!$E:$E,MATCH(IF(IFERROR(INDEX(Market!$M:$M,MATCH(D60,Market!$A:$A,0))&amp;"","")="",IFERROR(VLOOKUP("reporting_ccy",Config!$A:$B,2,FALSE),""),INDEX(Market!$M:$M,MATCH(D60,Market!$A:$A,0))),Curve!$G:$G,0)),Curve!$E$2)))</f>
        <v/>
      </c>
      <c r="J60" s="13" t="str">
        <f>IF(A60="","",IF(C60="OPTION",IF(ISNUMBER(Trades!$R58),Trades!$R58,IF(RIGHT(Trades!$R58,1)="%",VALUE(SUBSTITUTE(Trades!$R58,"%",""))/100*E60,VALUE(Trades!$R58))),IF(UPPER(Trades!$M58)="AVERAGE",Trades!$N58,E60)))</f>
        <v/>
      </c>
      <c r="K60" s="13" t="str">
        <f>IF(A60="","",IF(OR(UPPER(Trades!$F58)="BUY",UPPER(Trades!$F58)="RECEIVE_EQUITY"),1,-1))</f>
        <v/>
      </c>
      <c r="L60" s="13" t="str">
        <f>IF(A60="","",Trades!$G58)</f>
        <v/>
      </c>
      <c r="M60" s="13" t="str">
        <f>IF(A60="","",(LN(E60/J60)+(I60-F60+G60^2/2)*H60)/(G60*SQRT(H60)))</f>
        <v/>
      </c>
      <c r="N60" s="14" t="str">
        <f>IF(A60="","",IF(C60="OPTION",K60*L60*IF(LEFT(UPPER(Trades!$Q58),1)="C",(E60*EXP(-F60*H60)*_xlfn.NORM.S.DIST(M60,TRUE)-J60*EXP(-I60*H60)*_xlfn.NORM.S.DIST(M60-G60*SQRT(H60),TRUE)),(J60*EXP(-I60*H60)*_xlfn.NORM.S.DIST(-(M60-G60*SQRT(H60)),TRUE)-E60*EXP(-F60*H60)*_xlfn.NORM.S.DIST(-M60,TRUE))),K60*L60*(E60-J60)+IF(UPPER(Trades!$M58)="AVERAGE",0,N(Trades!$O58))-K60*L60*J60*N(Trades!$L58)*H60*365/360*EXP(-I60*H60/2)))</f>
        <v/>
      </c>
      <c r="O60" s="14" t="str">
        <f>IF(A60="","",SUMIFS(LegMTM!$F:$F,LegMTM!$B:$B,A60,LegMTM!$C:$C,B60))</f>
        <v/>
      </c>
      <c r="P60" s="14" t="str">
        <f>IF(A60="","",N60-O60)</f>
        <v/>
      </c>
      <c r="Q60" s="14" t="str">
        <f>IF(A60="","",IF($B$1&gt;=H60,0,IF(C60="OPTION",IF(K60&gt;0,N60*EXP(I60*$B$1),0),IF(OR(UPPER(Trades!$J58)="",UPPER(Trades!$J58)="NONE"),IF(K60&gt;0,L60*((E60*EXP((I60-F60)*$B$1))*_xlfn.NORM.S.DIST(((LN(E60/J60)-F60*$B$1+G60^2/2*$B$1)/(G60*SQRT($B$1))),TRUE)-(J60*EXP(I60*$B$1))*_xlfn.NORM.S.DIST(((LN(E60/J60)-F60*$B$1+G60^2/2*$B$1)/(G60*SQRT($B$1)))-G60*SQRT($B$1),TRUE)),L60*((J60*EXP(I60*$B$1))*_xlfn.NORM.S.DIST(-(((LN(E60/J60)-F60*$B$1+G60^2/2*$B$1)/(G60*SQRT($B$1)))-G60*SQRT($B$1)),TRUE)-(E60*EXP((I60-F60)*$B$1))*_xlfn.NORM.S.DIST(-((LN(E60/J60)-F60*$B$1+G60^2/2*$B$1)/(G60*SQRT($B$1))),TRUE))),"reset: see AnalyticCheck"))))</f>
        <v/>
      </c>
    </row>
    <row r="61" spans="1:17" x14ac:dyDescent="0.35">
      <c r="A61" t="str">
        <f>IF(Trades!$A59="","",Trades!$A59)</f>
        <v/>
      </c>
      <c r="B61" t="str">
        <f>IF(A61="","",Trades!$C59)</f>
        <v/>
      </c>
      <c r="C61" t="str">
        <f>IF(A61="","",UPPER(Trades!$D59))</f>
        <v/>
      </c>
      <c r="D61" t="str">
        <f>IF(A61="","",Trades!$E59)</f>
        <v/>
      </c>
      <c r="E61" s="13" t="str">
        <f>IF(A61="","",INDEX(Market!$J:$J,MATCH(D61,Market!$A:$A,0)))</f>
        <v/>
      </c>
      <c r="F61" s="13" t="str">
        <f>IF(A61="","",INDEX(Market!$K:$K,MATCH(D61,Market!$A:$A,0)))</f>
        <v/>
      </c>
      <c r="G61" s="13" t="str">
        <f>IF(A61="","",IF(AND(C61="OPTION",Trades!$T59&lt;&gt;""),Trades!$T59,INDEX(Market!$L:$L,MATCH(D61,Market!$A:$A,0))))</f>
        <v/>
      </c>
      <c r="H61" s="13" t="str">
        <f>IF(A61="","",IF(ISNUMBER(IF(C61="OPTION",Trades!$S59,Trades!$I59)),(IF(C61="OPTION",Trades!$S59,Trades!$I59)-Config!$B$2)/365,VALUE(LEFT(IF(C61="OPTION",Trades!$S59,Trades!$I59),LEN(IF(C61="OPTION",Trades!$S59,Trades!$I59))-1))*CHOOSE(MATCH(RIGHT(IF(C61="OPTION",Trades!$S59,Trades!$I59),1),{"D","W","M","Y"},0),1/365,7/365,1/12,1)))</f>
        <v/>
      </c>
      <c r="I61" s="13" t="str">
        <f>IF(A61="","",IFERROR(LOOKUP(2,1/((Curve!$G$2:$G$200=IF(IFERROR(INDEX(Market!$M:$M,MATCH(D61,Market!$A:$A,0))&amp;"","")="",IFERROR(VLOOKUP("reporting_ccy",Config!$A:$B,2,FALSE),""),INDEX(Market!$M:$M,MATCH(D61,Market!$A:$A,0))))*(Curve!$F$2:$F$200&lt;=H61)),Curve!$E$2:$E$200),IFERROR(INDEX(Curve!$E:$E,MATCH(IF(IFERROR(INDEX(Market!$M:$M,MATCH(D61,Market!$A:$A,0))&amp;"","")="",IFERROR(VLOOKUP("reporting_ccy",Config!$A:$B,2,FALSE),""),INDEX(Market!$M:$M,MATCH(D61,Market!$A:$A,0))),Curve!$G:$G,0)),Curve!$E$2)))</f>
        <v/>
      </c>
      <c r="J61" s="13" t="str">
        <f>IF(A61="","",IF(C61="OPTION",IF(ISNUMBER(Trades!$R59),Trades!$R59,IF(RIGHT(Trades!$R59,1)="%",VALUE(SUBSTITUTE(Trades!$R59,"%",""))/100*E61,VALUE(Trades!$R59))),IF(UPPER(Trades!$M59)="AVERAGE",Trades!$N59,E61)))</f>
        <v/>
      </c>
      <c r="K61" s="13" t="str">
        <f>IF(A61="","",IF(OR(UPPER(Trades!$F59)="BUY",UPPER(Trades!$F59)="RECEIVE_EQUITY"),1,-1))</f>
        <v/>
      </c>
      <c r="L61" s="13" t="str">
        <f>IF(A61="","",Trades!$G59)</f>
        <v/>
      </c>
      <c r="M61" s="13" t="str">
        <f>IF(A61="","",(LN(E61/J61)+(I61-F61+G61^2/2)*H61)/(G61*SQRT(H61)))</f>
        <v/>
      </c>
      <c r="N61" s="14" t="str">
        <f>IF(A61="","",IF(C61="OPTION",K61*L61*IF(LEFT(UPPER(Trades!$Q59),1)="C",(E61*EXP(-F61*H61)*_xlfn.NORM.S.DIST(M61,TRUE)-J61*EXP(-I61*H61)*_xlfn.NORM.S.DIST(M61-G61*SQRT(H61),TRUE)),(J61*EXP(-I61*H61)*_xlfn.NORM.S.DIST(-(M61-G61*SQRT(H61)),TRUE)-E61*EXP(-F61*H61)*_xlfn.NORM.S.DIST(-M61,TRUE))),K61*L61*(E61-J61)+IF(UPPER(Trades!$M59)="AVERAGE",0,N(Trades!$O59))-K61*L61*J61*N(Trades!$L59)*H61*365/360*EXP(-I61*H61/2)))</f>
        <v/>
      </c>
      <c r="O61" s="14" t="str">
        <f>IF(A61="","",SUMIFS(LegMTM!$F:$F,LegMTM!$B:$B,A61,LegMTM!$C:$C,B61))</f>
        <v/>
      </c>
      <c r="P61" s="14" t="str">
        <f>IF(A61="","",N61-O61)</f>
        <v/>
      </c>
      <c r="Q61" s="14" t="str">
        <f>IF(A61="","",IF($B$1&gt;=H61,0,IF(C61="OPTION",IF(K61&gt;0,N61*EXP(I61*$B$1),0),IF(OR(UPPER(Trades!$J59)="",UPPER(Trades!$J59)="NONE"),IF(K61&gt;0,L61*((E61*EXP((I61-F61)*$B$1))*_xlfn.NORM.S.DIST(((LN(E61/J61)-F61*$B$1+G61^2/2*$B$1)/(G61*SQRT($B$1))),TRUE)-(J61*EXP(I61*$B$1))*_xlfn.NORM.S.DIST(((LN(E61/J61)-F61*$B$1+G61^2/2*$B$1)/(G61*SQRT($B$1)))-G61*SQRT($B$1),TRUE)),L61*((J61*EXP(I61*$B$1))*_xlfn.NORM.S.DIST(-(((LN(E61/J61)-F61*$B$1+G61^2/2*$B$1)/(G61*SQRT($B$1)))-G61*SQRT($B$1)),TRUE)-(E61*EXP((I61-F61)*$B$1))*_xlfn.NORM.S.DIST(-((LN(E61/J61)-F61*$B$1+G61^2/2*$B$1)/(G61*SQRT($B$1))),TRUE))),"reset: see AnalyticCheck"))))</f>
        <v/>
      </c>
    </row>
    <row r="62" spans="1:17" x14ac:dyDescent="0.35">
      <c r="A62" t="str">
        <f>IF(Trades!$A60="","",Trades!$A60)</f>
        <v/>
      </c>
      <c r="B62" t="str">
        <f>IF(A62="","",Trades!$C60)</f>
        <v/>
      </c>
      <c r="C62" t="str">
        <f>IF(A62="","",UPPER(Trades!$D60))</f>
        <v/>
      </c>
      <c r="D62" t="str">
        <f>IF(A62="","",Trades!$E60)</f>
        <v/>
      </c>
      <c r="E62" s="13" t="str">
        <f>IF(A62="","",INDEX(Market!$J:$J,MATCH(D62,Market!$A:$A,0)))</f>
        <v/>
      </c>
      <c r="F62" s="13" t="str">
        <f>IF(A62="","",INDEX(Market!$K:$K,MATCH(D62,Market!$A:$A,0)))</f>
        <v/>
      </c>
      <c r="G62" s="13" t="str">
        <f>IF(A62="","",IF(AND(C62="OPTION",Trades!$T60&lt;&gt;""),Trades!$T60,INDEX(Market!$L:$L,MATCH(D62,Market!$A:$A,0))))</f>
        <v/>
      </c>
      <c r="H62" s="13" t="str">
        <f>IF(A62="","",IF(ISNUMBER(IF(C62="OPTION",Trades!$S60,Trades!$I60)),(IF(C62="OPTION",Trades!$S60,Trades!$I60)-Config!$B$2)/365,VALUE(LEFT(IF(C62="OPTION",Trades!$S60,Trades!$I60),LEN(IF(C62="OPTION",Trades!$S60,Trades!$I60))-1))*CHOOSE(MATCH(RIGHT(IF(C62="OPTION",Trades!$S60,Trades!$I60),1),{"D","W","M","Y"},0),1/365,7/365,1/12,1)))</f>
        <v/>
      </c>
      <c r="I62" s="13" t="str">
        <f>IF(A62="","",IFERROR(LOOKUP(2,1/((Curve!$G$2:$G$200=IF(IFERROR(INDEX(Market!$M:$M,MATCH(D62,Market!$A:$A,0))&amp;"","")="",IFERROR(VLOOKUP("reporting_ccy",Config!$A:$B,2,FALSE),""),INDEX(Market!$M:$M,MATCH(D62,Market!$A:$A,0))))*(Curve!$F$2:$F$200&lt;=H62)),Curve!$E$2:$E$200),IFERROR(INDEX(Curve!$E:$E,MATCH(IF(IFERROR(INDEX(Market!$M:$M,MATCH(D62,Market!$A:$A,0))&amp;"","")="",IFERROR(VLOOKUP("reporting_ccy",Config!$A:$B,2,FALSE),""),INDEX(Market!$M:$M,MATCH(D62,Market!$A:$A,0))),Curve!$G:$G,0)),Curve!$E$2)))</f>
        <v/>
      </c>
      <c r="J62" s="13" t="str">
        <f>IF(A62="","",IF(C62="OPTION",IF(ISNUMBER(Trades!$R60),Trades!$R60,IF(RIGHT(Trades!$R60,1)="%",VALUE(SUBSTITUTE(Trades!$R60,"%",""))/100*E62,VALUE(Trades!$R60))),IF(UPPER(Trades!$M60)="AVERAGE",Trades!$N60,E62)))</f>
        <v/>
      </c>
      <c r="K62" s="13" t="str">
        <f>IF(A62="","",IF(OR(UPPER(Trades!$F60)="BUY",UPPER(Trades!$F60)="RECEIVE_EQUITY"),1,-1))</f>
        <v/>
      </c>
      <c r="L62" s="13" t="str">
        <f>IF(A62="","",Trades!$G60)</f>
        <v/>
      </c>
      <c r="M62" s="13" t="str">
        <f>IF(A62="","",(LN(E62/J62)+(I62-F62+G62^2/2)*H62)/(G62*SQRT(H62)))</f>
        <v/>
      </c>
      <c r="N62" s="14" t="str">
        <f>IF(A62="","",IF(C62="OPTION",K62*L62*IF(LEFT(UPPER(Trades!$Q60),1)="C",(E62*EXP(-F62*H62)*_xlfn.NORM.S.DIST(M62,TRUE)-J62*EXP(-I62*H62)*_xlfn.NORM.S.DIST(M62-G62*SQRT(H62),TRUE)),(J62*EXP(-I62*H62)*_xlfn.NORM.S.DIST(-(M62-G62*SQRT(H62)),TRUE)-E62*EXP(-F62*H62)*_xlfn.NORM.S.DIST(-M62,TRUE))),K62*L62*(E62-J62)+IF(UPPER(Trades!$M60)="AVERAGE",0,N(Trades!$O60))-K62*L62*J62*N(Trades!$L60)*H62*365/360*EXP(-I62*H62/2)))</f>
        <v/>
      </c>
      <c r="O62" s="14" t="str">
        <f>IF(A62="","",SUMIFS(LegMTM!$F:$F,LegMTM!$B:$B,A62,LegMTM!$C:$C,B62))</f>
        <v/>
      </c>
      <c r="P62" s="14" t="str">
        <f>IF(A62="","",N62-O62)</f>
        <v/>
      </c>
      <c r="Q62" s="14" t="str">
        <f>IF(A62="","",IF($B$1&gt;=H62,0,IF(C62="OPTION",IF(K62&gt;0,N62*EXP(I62*$B$1),0),IF(OR(UPPER(Trades!$J60)="",UPPER(Trades!$J60)="NONE"),IF(K62&gt;0,L62*((E62*EXP((I62-F62)*$B$1))*_xlfn.NORM.S.DIST(((LN(E62/J62)-F62*$B$1+G62^2/2*$B$1)/(G62*SQRT($B$1))),TRUE)-(J62*EXP(I62*$B$1))*_xlfn.NORM.S.DIST(((LN(E62/J62)-F62*$B$1+G62^2/2*$B$1)/(G62*SQRT($B$1)))-G62*SQRT($B$1),TRUE)),L62*((J62*EXP(I62*$B$1))*_xlfn.NORM.S.DIST(-(((LN(E62/J62)-F62*$B$1+G62^2/2*$B$1)/(G62*SQRT($B$1)))-G62*SQRT($B$1)),TRUE)-(E62*EXP((I62-F62)*$B$1))*_xlfn.NORM.S.DIST(-((LN(E62/J62)-F62*$B$1+G62^2/2*$B$1)/(G62*SQRT($B$1))),TRUE))),"reset: see AnalyticCheck"))))</f>
        <v/>
      </c>
    </row>
    <row r="63" spans="1:17" x14ac:dyDescent="0.35">
      <c r="A63" t="str">
        <f>IF(Trades!$A61="","",Trades!$A61)</f>
        <v/>
      </c>
      <c r="B63" t="str">
        <f>IF(A63="","",Trades!$C61)</f>
        <v/>
      </c>
      <c r="C63" t="str">
        <f>IF(A63="","",UPPER(Trades!$D61))</f>
        <v/>
      </c>
      <c r="D63" t="str">
        <f>IF(A63="","",Trades!$E61)</f>
        <v/>
      </c>
      <c r="E63" s="13" t="str">
        <f>IF(A63="","",INDEX(Market!$J:$J,MATCH(D63,Market!$A:$A,0)))</f>
        <v/>
      </c>
      <c r="F63" s="13" t="str">
        <f>IF(A63="","",INDEX(Market!$K:$K,MATCH(D63,Market!$A:$A,0)))</f>
        <v/>
      </c>
      <c r="G63" s="13" t="str">
        <f>IF(A63="","",IF(AND(C63="OPTION",Trades!$T61&lt;&gt;""),Trades!$T61,INDEX(Market!$L:$L,MATCH(D63,Market!$A:$A,0))))</f>
        <v/>
      </c>
      <c r="H63" s="13" t="str">
        <f>IF(A63="","",IF(ISNUMBER(IF(C63="OPTION",Trades!$S61,Trades!$I61)),(IF(C63="OPTION",Trades!$S61,Trades!$I61)-Config!$B$2)/365,VALUE(LEFT(IF(C63="OPTION",Trades!$S61,Trades!$I61),LEN(IF(C63="OPTION",Trades!$S61,Trades!$I61))-1))*CHOOSE(MATCH(RIGHT(IF(C63="OPTION",Trades!$S61,Trades!$I61),1),{"D","W","M","Y"},0),1/365,7/365,1/12,1)))</f>
        <v/>
      </c>
      <c r="I63" s="13" t="str">
        <f>IF(A63="","",IFERROR(LOOKUP(2,1/((Curve!$G$2:$G$200=IF(IFERROR(INDEX(Market!$M:$M,MATCH(D63,Market!$A:$A,0))&amp;"","")="",IFERROR(VLOOKUP("reporting_ccy",Config!$A:$B,2,FALSE),""),INDEX(Market!$M:$M,MATCH(D63,Market!$A:$A,0))))*(Curve!$F$2:$F$200&lt;=H63)),Curve!$E$2:$E$200),IFERROR(INDEX(Curve!$E:$E,MATCH(IF(IFERROR(INDEX(Market!$M:$M,MATCH(D63,Market!$A:$A,0))&amp;"","")="",IFERROR(VLOOKUP("reporting_ccy",Config!$A:$B,2,FALSE),""),INDEX(Market!$M:$M,MATCH(D63,Market!$A:$A,0))),Curve!$G:$G,0)),Curve!$E$2)))</f>
        <v/>
      </c>
      <c r="J63" s="13" t="str">
        <f>IF(A63="","",IF(C63="OPTION",IF(ISNUMBER(Trades!$R61),Trades!$R61,IF(RIGHT(Trades!$R61,1)="%",VALUE(SUBSTITUTE(Trades!$R61,"%",""))/100*E63,VALUE(Trades!$R61))),IF(UPPER(Trades!$M61)="AVERAGE",Trades!$N61,E63)))</f>
        <v/>
      </c>
      <c r="K63" s="13" t="str">
        <f>IF(A63="","",IF(OR(UPPER(Trades!$F61)="BUY",UPPER(Trades!$F61)="RECEIVE_EQUITY"),1,-1))</f>
        <v/>
      </c>
      <c r="L63" s="13" t="str">
        <f>IF(A63="","",Trades!$G61)</f>
        <v/>
      </c>
      <c r="M63" s="13" t="str">
        <f>IF(A63="","",(LN(E63/J63)+(I63-F63+G63^2/2)*H63)/(G63*SQRT(H63)))</f>
        <v/>
      </c>
      <c r="N63" s="14" t="str">
        <f>IF(A63="","",IF(C63="OPTION",K63*L63*IF(LEFT(UPPER(Trades!$Q61),1)="C",(E63*EXP(-F63*H63)*_xlfn.NORM.S.DIST(M63,TRUE)-J63*EXP(-I63*H63)*_xlfn.NORM.S.DIST(M63-G63*SQRT(H63),TRUE)),(J63*EXP(-I63*H63)*_xlfn.NORM.S.DIST(-(M63-G63*SQRT(H63)),TRUE)-E63*EXP(-F63*H63)*_xlfn.NORM.S.DIST(-M63,TRUE))),K63*L63*(E63-J63)+IF(UPPER(Trades!$M61)="AVERAGE",0,N(Trades!$O61))-K63*L63*J63*N(Trades!$L61)*H63*365/360*EXP(-I63*H63/2)))</f>
        <v/>
      </c>
      <c r="O63" s="14" t="str">
        <f>IF(A63="","",SUMIFS(LegMTM!$F:$F,LegMTM!$B:$B,A63,LegMTM!$C:$C,B63))</f>
        <v/>
      </c>
      <c r="P63" s="14" t="str">
        <f>IF(A63="","",N63-O63)</f>
        <v/>
      </c>
      <c r="Q63" s="14" t="str">
        <f>IF(A63="","",IF($B$1&gt;=H63,0,IF(C63="OPTION",IF(K63&gt;0,N63*EXP(I63*$B$1),0),IF(OR(UPPER(Trades!$J61)="",UPPER(Trades!$J61)="NONE"),IF(K63&gt;0,L63*((E63*EXP((I63-F63)*$B$1))*_xlfn.NORM.S.DIST(((LN(E63/J63)-F63*$B$1+G63^2/2*$B$1)/(G63*SQRT($B$1))),TRUE)-(J63*EXP(I63*$B$1))*_xlfn.NORM.S.DIST(((LN(E63/J63)-F63*$B$1+G63^2/2*$B$1)/(G63*SQRT($B$1)))-G63*SQRT($B$1),TRUE)),L63*((J63*EXP(I63*$B$1))*_xlfn.NORM.S.DIST(-(((LN(E63/J63)-F63*$B$1+G63^2/2*$B$1)/(G63*SQRT($B$1)))-G63*SQRT($B$1)),TRUE)-(E63*EXP((I63-F63)*$B$1))*_xlfn.NORM.S.DIST(-((LN(E63/J63)-F63*$B$1+G63^2/2*$B$1)/(G63*SQRT($B$1))),TRUE))),"reset: see AnalyticCheck"))))</f>
        <v/>
      </c>
    </row>
    <row r="64" spans="1:17" x14ac:dyDescent="0.35">
      <c r="A64" t="str">
        <f>IF(Trades!$A62="","",Trades!$A62)</f>
        <v/>
      </c>
      <c r="B64" t="str">
        <f>IF(A64="","",Trades!$C62)</f>
        <v/>
      </c>
      <c r="C64" t="str">
        <f>IF(A64="","",UPPER(Trades!$D62))</f>
        <v/>
      </c>
      <c r="D64" t="str">
        <f>IF(A64="","",Trades!$E62)</f>
        <v/>
      </c>
      <c r="E64" s="13" t="str">
        <f>IF(A64="","",INDEX(Market!$J:$J,MATCH(D64,Market!$A:$A,0)))</f>
        <v/>
      </c>
      <c r="F64" s="13" t="str">
        <f>IF(A64="","",INDEX(Market!$K:$K,MATCH(D64,Market!$A:$A,0)))</f>
        <v/>
      </c>
      <c r="G64" s="13" t="str">
        <f>IF(A64="","",IF(AND(C64="OPTION",Trades!$T62&lt;&gt;""),Trades!$T62,INDEX(Market!$L:$L,MATCH(D64,Market!$A:$A,0))))</f>
        <v/>
      </c>
      <c r="H64" s="13" t="str">
        <f>IF(A64="","",IF(ISNUMBER(IF(C64="OPTION",Trades!$S62,Trades!$I62)),(IF(C64="OPTION",Trades!$S62,Trades!$I62)-Config!$B$2)/365,VALUE(LEFT(IF(C64="OPTION",Trades!$S62,Trades!$I62),LEN(IF(C64="OPTION",Trades!$S62,Trades!$I62))-1))*CHOOSE(MATCH(RIGHT(IF(C64="OPTION",Trades!$S62,Trades!$I62),1),{"D","W","M","Y"},0),1/365,7/365,1/12,1)))</f>
        <v/>
      </c>
      <c r="I64" s="13" t="str">
        <f>IF(A64="","",IFERROR(LOOKUP(2,1/((Curve!$G$2:$G$200=IF(IFERROR(INDEX(Market!$M:$M,MATCH(D64,Market!$A:$A,0))&amp;"","")="",IFERROR(VLOOKUP("reporting_ccy",Config!$A:$B,2,FALSE),""),INDEX(Market!$M:$M,MATCH(D64,Market!$A:$A,0))))*(Curve!$F$2:$F$200&lt;=H64)),Curve!$E$2:$E$200),IFERROR(INDEX(Curve!$E:$E,MATCH(IF(IFERROR(INDEX(Market!$M:$M,MATCH(D64,Market!$A:$A,0))&amp;"","")="",IFERROR(VLOOKUP("reporting_ccy",Config!$A:$B,2,FALSE),""),INDEX(Market!$M:$M,MATCH(D64,Market!$A:$A,0))),Curve!$G:$G,0)),Curve!$E$2)))</f>
        <v/>
      </c>
      <c r="J64" s="13" t="str">
        <f>IF(A64="","",IF(C64="OPTION",IF(ISNUMBER(Trades!$R62),Trades!$R62,IF(RIGHT(Trades!$R62,1)="%",VALUE(SUBSTITUTE(Trades!$R62,"%",""))/100*E64,VALUE(Trades!$R62))),IF(UPPER(Trades!$M62)="AVERAGE",Trades!$N62,E64)))</f>
        <v/>
      </c>
      <c r="K64" s="13" t="str">
        <f>IF(A64="","",IF(OR(UPPER(Trades!$F62)="BUY",UPPER(Trades!$F62)="RECEIVE_EQUITY"),1,-1))</f>
        <v/>
      </c>
      <c r="L64" s="13" t="str">
        <f>IF(A64="","",Trades!$G62)</f>
        <v/>
      </c>
      <c r="M64" s="13" t="str">
        <f>IF(A64="","",(LN(E64/J64)+(I64-F64+G64^2/2)*H64)/(G64*SQRT(H64)))</f>
        <v/>
      </c>
      <c r="N64" s="14" t="str">
        <f>IF(A64="","",IF(C64="OPTION",K64*L64*IF(LEFT(UPPER(Trades!$Q62),1)="C",(E64*EXP(-F64*H64)*_xlfn.NORM.S.DIST(M64,TRUE)-J64*EXP(-I64*H64)*_xlfn.NORM.S.DIST(M64-G64*SQRT(H64),TRUE)),(J64*EXP(-I64*H64)*_xlfn.NORM.S.DIST(-(M64-G64*SQRT(H64)),TRUE)-E64*EXP(-F64*H64)*_xlfn.NORM.S.DIST(-M64,TRUE))),K64*L64*(E64-J64)+IF(UPPER(Trades!$M62)="AVERAGE",0,N(Trades!$O62))-K64*L64*J64*N(Trades!$L62)*H64*365/360*EXP(-I64*H64/2)))</f>
        <v/>
      </c>
      <c r="O64" s="14" t="str">
        <f>IF(A64="","",SUMIFS(LegMTM!$F:$F,LegMTM!$B:$B,A64,LegMTM!$C:$C,B64))</f>
        <v/>
      </c>
      <c r="P64" s="14" t="str">
        <f>IF(A64="","",N64-O64)</f>
        <v/>
      </c>
      <c r="Q64" s="14" t="str">
        <f>IF(A64="","",IF($B$1&gt;=H64,0,IF(C64="OPTION",IF(K64&gt;0,N64*EXP(I64*$B$1),0),IF(OR(UPPER(Trades!$J62)="",UPPER(Trades!$J62)="NONE"),IF(K64&gt;0,L64*((E64*EXP((I64-F64)*$B$1))*_xlfn.NORM.S.DIST(((LN(E64/J64)-F64*$B$1+G64^2/2*$B$1)/(G64*SQRT($B$1))),TRUE)-(J64*EXP(I64*$B$1))*_xlfn.NORM.S.DIST(((LN(E64/J64)-F64*$B$1+G64^2/2*$B$1)/(G64*SQRT($B$1)))-G64*SQRT($B$1),TRUE)),L64*((J64*EXP(I64*$B$1))*_xlfn.NORM.S.DIST(-(((LN(E64/J64)-F64*$B$1+G64^2/2*$B$1)/(G64*SQRT($B$1)))-G64*SQRT($B$1)),TRUE)-(E64*EXP((I64-F64)*$B$1))*_xlfn.NORM.S.DIST(-((LN(E64/J64)-F64*$B$1+G64^2/2*$B$1)/(G64*SQRT($B$1))),TRUE))),"reset: see AnalyticCheck"))))</f>
        <v/>
      </c>
    </row>
    <row r="65" spans="1:17" x14ac:dyDescent="0.35">
      <c r="A65" t="str">
        <f>IF(Trades!$A63="","",Trades!$A63)</f>
        <v/>
      </c>
      <c r="B65" t="str">
        <f>IF(A65="","",Trades!$C63)</f>
        <v/>
      </c>
      <c r="C65" t="str">
        <f>IF(A65="","",UPPER(Trades!$D63))</f>
        <v/>
      </c>
      <c r="D65" t="str">
        <f>IF(A65="","",Trades!$E63)</f>
        <v/>
      </c>
      <c r="E65" s="13" t="str">
        <f>IF(A65="","",INDEX(Market!$J:$J,MATCH(D65,Market!$A:$A,0)))</f>
        <v/>
      </c>
      <c r="F65" s="13" t="str">
        <f>IF(A65="","",INDEX(Market!$K:$K,MATCH(D65,Market!$A:$A,0)))</f>
        <v/>
      </c>
      <c r="G65" s="13" t="str">
        <f>IF(A65="","",IF(AND(C65="OPTION",Trades!$T63&lt;&gt;""),Trades!$T63,INDEX(Market!$L:$L,MATCH(D65,Market!$A:$A,0))))</f>
        <v/>
      </c>
      <c r="H65" s="13" t="str">
        <f>IF(A65="","",IF(ISNUMBER(IF(C65="OPTION",Trades!$S63,Trades!$I63)),(IF(C65="OPTION",Trades!$S63,Trades!$I63)-Config!$B$2)/365,VALUE(LEFT(IF(C65="OPTION",Trades!$S63,Trades!$I63),LEN(IF(C65="OPTION",Trades!$S63,Trades!$I63))-1))*CHOOSE(MATCH(RIGHT(IF(C65="OPTION",Trades!$S63,Trades!$I63),1),{"D","W","M","Y"},0),1/365,7/365,1/12,1)))</f>
        <v/>
      </c>
      <c r="I65" s="13" t="str">
        <f>IF(A65="","",IFERROR(LOOKUP(2,1/((Curve!$G$2:$G$200=IF(IFERROR(INDEX(Market!$M:$M,MATCH(D65,Market!$A:$A,0))&amp;"","")="",IFERROR(VLOOKUP("reporting_ccy",Config!$A:$B,2,FALSE),""),INDEX(Market!$M:$M,MATCH(D65,Market!$A:$A,0))))*(Curve!$F$2:$F$200&lt;=H65)),Curve!$E$2:$E$200),IFERROR(INDEX(Curve!$E:$E,MATCH(IF(IFERROR(INDEX(Market!$M:$M,MATCH(D65,Market!$A:$A,0))&amp;"","")="",IFERROR(VLOOKUP("reporting_ccy",Config!$A:$B,2,FALSE),""),INDEX(Market!$M:$M,MATCH(D65,Market!$A:$A,0))),Curve!$G:$G,0)),Curve!$E$2)))</f>
        <v/>
      </c>
      <c r="J65" s="13" t="str">
        <f>IF(A65="","",IF(C65="OPTION",IF(ISNUMBER(Trades!$R63),Trades!$R63,IF(RIGHT(Trades!$R63,1)="%",VALUE(SUBSTITUTE(Trades!$R63,"%",""))/100*E65,VALUE(Trades!$R63))),IF(UPPER(Trades!$M63)="AVERAGE",Trades!$N63,E65)))</f>
        <v/>
      </c>
      <c r="K65" s="13" t="str">
        <f>IF(A65="","",IF(OR(UPPER(Trades!$F63)="BUY",UPPER(Trades!$F63)="RECEIVE_EQUITY"),1,-1))</f>
        <v/>
      </c>
      <c r="L65" s="13" t="str">
        <f>IF(A65="","",Trades!$G63)</f>
        <v/>
      </c>
      <c r="M65" s="13" t="str">
        <f>IF(A65="","",(LN(E65/J65)+(I65-F65+G65^2/2)*H65)/(G65*SQRT(H65)))</f>
        <v/>
      </c>
      <c r="N65" s="14" t="str">
        <f>IF(A65="","",IF(C65="OPTION",K65*L65*IF(LEFT(UPPER(Trades!$Q63),1)="C",(E65*EXP(-F65*H65)*_xlfn.NORM.S.DIST(M65,TRUE)-J65*EXP(-I65*H65)*_xlfn.NORM.S.DIST(M65-G65*SQRT(H65),TRUE)),(J65*EXP(-I65*H65)*_xlfn.NORM.S.DIST(-(M65-G65*SQRT(H65)),TRUE)-E65*EXP(-F65*H65)*_xlfn.NORM.S.DIST(-M65,TRUE))),K65*L65*(E65-J65)+IF(UPPER(Trades!$M63)="AVERAGE",0,N(Trades!$O63))-K65*L65*J65*N(Trades!$L63)*H65*365/360*EXP(-I65*H65/2)))</f>
        <v/>
      </c>
      <c r="O65" s="14" t="str">
        <f>IF(A65="","",SUMIFS(LegMTM!$F:$F,LegMTM!$B:$B,A65,LegMTM!$C:$C,B65))</f>
        <v/>
      </c>
      <c r="P65" s="14" t="str">
        <f>IF(A65="","",N65-O65)</f>
        <v/>
      </c>
      <c r="Q65" s="14" t="str">
        <f>IF(A65="","",IF($B$1&gt;=H65,0,IF(C65="OPTION",IF(K65&gt;0,N65*EXP(I65*$B$1),0),IF(OR(UPPER(Trades!$J63)="",UPPER(Trades!$J63)="NONE"),IF(K65&gt;0,L65*((E65*EXP((I65-F65)*$B$1))*_xlfn.NORM.S.DIST(((LN(E65/J65)-F65*$B$1+G65^2/2*$B$1)/(G65*SQRT($B$1))),TRUE)-(J65*EXP(I65*$B$1))*_xlfn.NORM.S.DIST(((LN(E65/J65)-F65*$B$1+G65^2/2*$B$1)/(G65*SQRT($B$1)))-G65*SQRT($B$1),TRUE)),L65*((J65*EXP(I65*$B$1))*_xlfn.NORM.S.DIST(-(((LN(E65/J65)-F65*$B$1+G65^2/2*$B$1)/(G65*SQRT($B$1)))-G65*SQRT($B$1)),TRUE)-(E65*EXP((I65-F65)*$B$1))*_xlfn.NORM.S.DIST(-((LN(E65/J65)-F65*$B$1+G65^2/2*$B$1)/(G65*SQRT($B$1))),TRUE))),"reset: see AnalyticCheck"))))</f>
        <v/>
      </c>
    </row>
    <row r="66" spans="1:17" x14ac:dyDescent="0.35">
      <c r="A66" t="str">
        <f>IF(Trades!$A64="","",Trades!$A64)</f>
        <v/>
      </c>
      <c r="B66" t="str">
        <f>IF(A66="","",Trades!$C64)</f>
        <v/>
      </c>
      <c r="C66" t="str">
        <f>IF(A66="","",UPPER(Trades!$D64))</f>
        <v/>
      </c>
      <c r="D66" t="str">
        <f>IF(A66="","",Trades!$E64)</f>
        <v/>
      </c>
      <c r="E66" s="13" t="str">
        <f>IF(A66="","",INDEX(Market!$J:$J,MATCH(D66,Market!$A:$A,0)))</f>
        <v/>
      </c>
      <c r="F66" s="13" t="str">
        <f>IF(A66="","",INDEX(Market!$K:$K,MATCH(D66,Market!$A:$A,0)))</f>
        <v/>
      </c>
      <c r="G66" s="13" t="str">
        <f>IF(A66="","",IF(AND(C66="OPTION",Trades!$T64&lt;&gt;""),Trades!$T64,INDEX(Market!$L:$L,MATCH(D66,Market!$A:$A,0))))</f>
        <v/>
      </c>
      <c r="H66" s="13" t="str">
        <f>IF(A66="","",IF(ISNUMBER(IF(C66="OPTION",Trades!$S64,Trades!$I64)),(IF(C66="OPTION",Trades!$S64,Trades!$I64)-Config!$B$2)/365,VALUE(LEFT(IF(C66="OPTION",Trades!$S64,Trades!$I64),LEN(IF(C66="OPTION",Trades!$S64,Trades!$I64))-1))*CHOOSE(MATCH(RIGHT(IF(C66="OPTION",Trades!$S64,Trades!$I64),1),{"D","W","M","Y"},0),1/365,7/365,1/12,1)))</f>
        <v/>
      </c>
      <c r="I66" s="13" t="str">
        <f>IF(A66="","",IFERROR(LOOKUP(2,1/((Curve!$G$2:$G$200=IF(IFERROR(INDEX(Market!$M:$M,MATCH(D66,Market!$A:$A,0))&amp;"","")="",IFERROR(VLOOKUP("reporting_ccy",Config!$A:$B,2,FALSE),""),INDEX(Market!$M:$M,MATCH(D66,Market!$A:$A,0))))*(Curve!$F$2:$F$200&lt;=H66)),Curve!$E$2:$E$200),IFERROR(INDEX(Curve!$E:$E,MATCH(IF(IFERROR(INDEX(Market!$M:$M,MATCH(D66,Market!$A:$A,0))&amp;"","")="",IFERROR(VLOOKUP("reporting_ccy",Config!$A:$B,2,FALSE),""),INDEX(Market!$M:$M,MATCH(D66,Market!$A:$A,0))),Curve!$G:$G,0)),Curve!$E$2)))</f>
        <v/>
      </c>
      <c r="J66" s="13" t="str">
        <f>IF(A66="","",IF(C66="OPTION",IF(ISNUMBER(Trades!$R64),Trades!$R64,IF(RIGHT(Trades!$R64,1)="%",VALUE(SUBSTITUTE(Trades!$R64,"%",""))/100*E66,VALUE(Trades!$R64))),IF(UPPER(Trades!$M64)="AVERAGE",Trades!$N64,E66)))</f>
        <v/>
      </c>
      <c r="K66" s="13" t="str">
        <f>IF(A66="","",IF(OR(UPPER(Trades!$F64)="BUY",UPPER(Trades!$F64)="RECEIVE_EQUITY"),1,-1))</f>
        <v/>
      </c>
      <c r="L66" s="13" t="str">
        <f>IF(A66="","",Trades!$G64)</f>
        <v/>
      </c>
      <c r="M66" s="13" t="str">
        <f>IF(A66="","",(LN(E66/J66)+(I66-F66+G66^2/2)*H66)/(G66*SQRT(H66)))</f>
        <v/>
      </c>
      <c r="N66" s="14" t="str">
        <f>IF(A66="","",IF(C66="OPTION",K66*L66*IF(LEFT(UPPER(Trades!$Q64),1)="C",(E66*EXP(-F66*H66)*_xlfn.NORM.S.DIST(M66,TRUE)-J66*EXP(-I66*H66)*_xlfn.NORM.S.DIST(M66-G66*SQRT(H66),TRUE)),(J66*EXP(-I66*H66)*_xlfn.NORM.S.DIST(-(M66-G66*SQRT(H66)),TRUE)-E66*EXP(-F66*H66)*_xlfn.NORM.S.DIST(-M66,TRUE))),K66*L66*(E66-J66)+IF(UPPER(Trades!$M64)="AVERAGE",0,N(Trades!$O64))-K66*L66*J66*N(Trades!$L64)*H66*365/360*EXP(-I66*H66/2)))</f>
        <v/>
      </c>
      <c r="O66" s="14" t="str">
        <f>IF(A66="","",SUMIFS(LegMTM!$F:$F,LegMTM!$B:$B,A66,LegMTM!$C:$C,B66))</f>
        <v/>
      </c>
      <c r="P66" s="14" t="str">
        <f>IF(A66="","",N66-O66)</f>
        <v/>
      </c>
      <c r="Q66" s="14" t="str">
        <f>IF(A66="","",IF($B$1&gt;=H66,0,IF(C66="OPTION",IF(K66&gt;0,N66*EXP(I66*$B$1),0),IF(OR(UPPER(Trades!$J64)="",UPPER(Trades!$J64)="NONE"),IF(K66&gt;0,L66*((E66*EXP((I66-F66)*$B$1))*_xlfn.NORM.S.DIST(((LN(E66/J66)-F66*$B$1+G66^2/2*$B$1)/(G66*SQRT($B$1))),TRUE)-(J66*EXP(I66*$B$1))*_xlfn.NORM.S.DIST(((LN(E66/J66)-F66*$B$1+G66^2/2*$B$1)/(G66*SQRT($B$1)))-G66*SQRT($B$1),TRUE)),L66*((J66*EXP(I66*$B$1))*_xlfn.NORM.S.DIST(-(((LN(E66/J66)-F66*$B$1+G66^2/2*$B$1)/(G66*SQRT($B$1)))-G66*SQRT($B$1)),TRUE)-(E66*EXP((I66-F66)*$B$1))*_xlfn.NORM.S.DIST(-((LN(E66/J66)-F66*$B$1+G66^2/2*$B$1)/(G66*SQRT($B$1))),TRUE))),"reset: see AnalyticCheck"))))</f>
        <v/>
      </c>
    </row>
    <row r="67" spans="1:17" x14ac:dyDescent="0.35">
      <c r="A67" t="str">
        <f>IF(Trades!$A65="","",Trades!$A65)</f>
        <v/>
      </c>
      <c r="B67" t="str">
        <f>IF(A67="","",Trades!$C65)</f>
        <v/>
      </c>
      <c r="C67" t="str">
        <f>IF(A67="","",UPPER(Trades!$D65))</f>
        <v/>
      </c>
      <c r="D67" t="str">
        <f>IF(A67="","",Trades!$E65)</f>
        <v/>
      </c>
      <c r="E67" s="13" t="str">
        <f>IF(A67="","",INDEX(Market!$J:$J,MATCH(D67,Market!$A:$A,0)))</f>
        <v/>
      </c>
      <c r="F67" s="13" t="str">
        <f>IF(A67="","",INDEX(Market!$K:$K,MATCH(D67,Market!$A:$A,0)))</f>
        <v/>
      </c>
      <c r="G67" s="13" t="str">
        <f>IF(A67="","",IF(AND(C67="OPTION",Trades!$T65&lt;&gt;""),Trades!$T65,INDEX(Market!$L:$L,MATCH(D67,Market!$A:$A,0))))</f>
        <v/>
      </c>
      <c r="H67" s="13" t="str">
        <f>IF(A67="","",IF(ISNUMBER(IF(C67="OPTION",Trades!$S65,Trades!$I65)),(IF(C67="OPTION",Trades!$S65,Trades!$I65)-Config!$B$2)/365,VALUE(LEFT(IF(C67="OPTION",Trades!$S65,Trades!$I65),LEN(IF(C67="OPTION",Trades!$S65,Trades!$I65))-1))*CHOOSE(MATCH(RIGHT(IF(C67="OPTION",Trades!$S65,Trades!$I65),1),{"D","W","M","Y"},0),1/365,7/365,1/12,1)))</f>
        <v/>
      </c>
      <c r="I67" s="13" t="str">
        <f>IF(A67="","",IFERROR(LOOKUP(2,1/((Curve!$G$2:$G$200=IF(IFERROR(INDEX(Market!$M:$M,MATCH(D67,Market!$A:$A,0))&amp;"","")="",IFERROR(VLOOKUP("reporting_ccy",Config!$A:$B,2,FALSE),""),INDEX(Market!$M:$M,MATCH(D67,Market!$A:$A,0))))*(Curve!$F$2:$F$200&lt;=H67)),Curve!$E$2:$E$200),IFERROR(INDEX(Curve!$E:$E,MATCH(IF(IFERROR(INDEX(Market!$M:$M,MATCH(D67,Market!$A:$A,0))&amp;"","")="",IFERROR(VLOOKUP("reporting_ccy",Config!$A:$B,2,FALSE),""),INDEX(Market!$M:$M,MATCH(D67,Market!$A:$A,0))),Curve!$G:$G,0)),Curve!$E$2)))</f>
        <v/>
      </c>
      <c r="J67" s="13" t="str">
        <f>IF(A67="","",IF(C67="OPTION",IF(ISNUMBER(Trades!$R65),Trades!$R65,IF(RIGHT(Trades!$R65,1)="%",VALUE(SUBSTITUTE(Trades!$R65,"%",""))/100*E67,VALUE(Trades!$R65))),IF(UPPER(Trades!$M65)="AVERAGE",Trades!$N65,E67)))</f>
        <v/>
      </c>
      <c r="K67" s="13" t="str">
        <f>IF(A67="","",IF(OR(UPPER(Trades!$F65)="BUY",UPPER(Trades!$F65)="RECEIVE_EQUITY"),1,-1))</f>
        <v/>
      </c>
      <c r="L67" s="13" t="str">
        <f>IF(A67="","",Trades!$G65)</f>
        <v/>
      </c>
      <c r="M67" s="13" t="str">
        <f>IF(A67="","",(LN(E67/J67)+(I67-F67+G67^2/2)*H67)/(G67*SQRT(H67)))</f>
        <v/>
      </c>
      <c r="N67" s="14" t="str">
        <f>IF(A67="","",IF(C67="OPTION",K67*L67*IF(LEFT(UPPER(Trades!$Q65),1)="C",(E67*EXP(-F67*H67)*_xlfn.NORM.S.DIST(M67,TRUE)-J67*EXP(-I67*H67)*_xlfn.NORM.S.DIST(M67-G67*SQRT(H67),TRUE)),(J67*EXP(-I67*H67)*_xlfn.NORM.S.DIST(-(M67-G67*SQRT(H67)),TRUE)-E67*EXP(-F67*H67)*_xlfn.NORM.S.DIST(-M67,TRUE))),K67*L67*(E67-J67)+IF(UPPER(Trades!$M65)="AVERAGE",0,N(Trades!$O65))-K67*L67*J67*N(Trades!$L65)*H67*365/360*EXP(-I67*H67/2)))</f>
        <v/>
      </c>
      <c r="O67" s="14" t="str">
        <f>IF(A67="","",SUMIFS(LegMTM!$F:$F,LegMTM!$B:$B,A67,LegMTM!$C:$C,B67))</f>
        <v/>
      </c>
      <c r="P67" s="14" t="str">
        <f>IF(A67="","",N67-O67)</f>
        <v/>
      </c>
      <c r="Q67" s="14" t="str">
        <f>IF(A67="","",IF($B$1&gt;=H67,0,IF(C67="OPTION",IF(K67&gt;0,N67*EXP(I67*$B$1),0),IF(OR(UPPER(Trades!$J65)="",UPPER(Trades!$J65)="NONE"),IF(K67&gt;0,L67*((E67*EXP((I67-F67)*$B$1))*_xlfn.NORM.S.DIST(((LN(E67/J67)-F67*$B$1+G67^2/2*$B$1)/(G67*SQRT($B$1))),TRUE)-(J67*EXP(I67*$B$1))*_xlfn.NORM.S.DIST(((LN(E67/J67)-F67*$B$1+G67^2/2*$B$1)/(G67*SQRT($B$1)))-G67*SQRT($B$1),TRUE)),L67*((J67*EXP(I67*$B$1))*_xlfn.NORM.S.DIST(-(((LN(E67/J67)-F67*$B$1+G67^2/2*$B$1)/(G67*SQRT($B$1)))-G67*SQRT($B$1)),TRUE)-(E67*EXP((I67-F67)*$B$1))*_xlfn.NORM.S.DIST(-((LN(E67/J67)-F67*$B$1+G67^2/2*$B$1)/(G67*SQRT($B$1))),TRUE))),"reset: see AnalyticCheck"))))</f>
        <v/>
      </c>
    </row>
    <row r="68" spans="1:17" x14ac:dyDescent="0.35">
      <c r="A68" t="str">
        <f>IF(Trades!$A66="","",Trades!$A66)</f>
        <v/>
      </c>
      <c r="B68" t="str">
        <f>IF(A68="","",Trades!$C66)</f>
        <v/>
      </c>
      <c r="C68" t="str">
        <f>IF(A68="","",UPPER(Trades!$D66))</f>
        <v/>
      </c>
      <c r="D68" t="str">
        <f>IF(A68="","",Trades!$E66)</f>
        <v/>
      </c>
      <c r="E68" s="13" t="str">
        <f>IF(A68="","",INDEX(Market!$J:$J,MATCH(D68,Market!$A:$A,0)))</f>
        <v/>
      </c>
      <c r="F68" s="13" t="str">
        <f>IF(A68="","",INDEX(Market!$K:$K,MATCH(D68,Market!$A:$A,0)))</f>
        <v/>
      </c>
      <c r="G68" s="13" t="str">
        <f>IF(A68="","",IF(AND(C68="OPTION",Trades!$T66&lt;&gt;""),Trades!$T66,INDEX(Market!$L:$L,MATCH(D68,Market!$A:$A,0))))</f>
        <v/>
      </c>
      <c r="H68" s="13" t="str">
        <f>IF(A68="","",IF(ISNUMBER(IF(C68="OPTION",Trades!$S66,Trades!$I66)),(IF(C68="OPTION",Trades!$S66,Trades!$I66)-Config!$B$2)/365,VALUE(LEFT(IF(C68="OPTION",Trades!$S66,Trades!$I66),LEN(IF(C68="OPTION",Trades!$S66,Trades!$I66))-1))*CHOOSE(MATCH(RIGHT(IF(C68="OPTION",Trades!$S66,Trades!$I66),1),{"D","W","M","Y"},0),1/365,7/365,1/12,1)))</f>
        <v/>
      </c>
      <c r="I68" s="13" t="str">
        <f>IF(A68="","",IFERROR(LOOKUP(2,1/((Curve!$G$2:$G$200=IF(IFERROR(INDEX(Market!$M:$M,MATCH(D68,Market!$A:$A,0))&amp;"","")="",IFERROR(VLOOKUP("reporting_ccy",Config!$A:$B,2,FALSE),""),INDEX(Market!$M:$M,MATCH(D68,Market!$A:$A,0))))*(Curve!$F$2:$F$200&lt;=H68)),Curve!$E$2:$E$200),IFERROR(INDEX(Curve!$E:$E,MATCH(IF(IFERROR(INDEX(Market!$M:$M,MATCH(D68,Market!$A:$A,0))&amp;"","")="",IFERROR(VLOOKUP("reporting_ccy",Config!$A:$B,2,FALSE),""),INDEX(Market!$M:$M,MATCH(D68,Market!$A:$A,0))),Curve!$G:$G,0)),Curve!$E$2)))</f>
        <v/>
      </c>
      <c r="J68" s="13" t="str">
        <f>IF(A68="","",IF(C68="OPTION",IF(ISNUMBER(Trades!$R66),Trades!$R66,IF(RIGHT(Trades!$R66,1)="%",VALUE(SUBSTITUTE(Trades!$R66,"%",""))/100*E68,VALUE(Trades!$R66))),IF(UPPER(Trades!$M66)="AVERAGE",Trades!$N66,E68)))</f>
        <v/>
      </c>
      <c r="K68" s="13" t="str">
        <f>IF(A68="","",IF(OR(UPPER(Trades!$F66)="BUY",UPPER(Trades!$F66)="RECEIVE_EQUITY"),1,-1))</f>
        <v/>
      </c>
      <c r="L68" s="13" t="str">
        <f>IF(A68="","",Trades!$G66)</f>
        <v/>
      </c>
      <c r="M68" s="13" t="str">
        <f>IF(A68="","",(LN(E68/J68)+(I68-F68+G68^2/2)*H68)/(G68*SQRT(H68)))</f>
        <v/>
      </c>
      <c r="N68" s="14" t="str">
        <f>IF(A68="","",IF(C68="OPTION",K68*L68*IF(LEFT(UPPER(Trades!$Q66),1)="C",(E68*EXP(-F68*H68)*_xlfn.NORM.S.DIST(M68,TRUE)-J68*EXP(-I68*H68)*_xlfn.NORM.S.DIST(M68-G68*SQRT(H68),TRUE)),(J68*EXP(-I68*H68)*_xlfn.NORM.S.DIST(-(M68-G68*SQRT(H68)),TRUE)-E68*EXP(-F68*H68)*_xlfn.NORM.S.DIST(-M68,TRUE))),K68*L68*(E68-J68)+IF(UPPER(Trades!$M66)="AVERAGE",0,N(Trades!$O66))-K68*L68*J68*N(Trades!$L66)*H68*365/360*EXP(-I68*H68/2)))</f>
        <v/>
      </c>
      <c r="O68" s="14" t="str">
        <f>IF(A68="","",SUMIFS(LegMTM!$F:$F,LegMTM!$B:$B,A68,LegMTM!$C:$C,B68))</f>
        <v/>
      </c>
      <c r="P68" s="14" t="str">
        <f>IF(A68="","",N68-O68)</f>
        <v/>
      </c>
      <c r="Q68" s="14" t="str">
        <f>IF(A68="","",IF($B$1&gt;=H68,0,IF(C68="OPTION",IF(K68&gt;0,N68*EXP(I68*$B$1),0),IF(OR(UPPER(Trades!$J66)="",UPPER(Trades!$J66)="NONE"),IF(K68&gt;0,L68*((E68*EXP((I68-F68)*$B$1))*_xlfn.NORM.S.DIST(((LN(E68/J68)-F68*$B$1+G68^2/2*$B$1)/(G68*SQRT($B$1))),TRUE)-(J68*EXP(I68*$B$1))*_xlfn.NORM.S.DIST(((LN(E68/J68)-F68*$B$1+G68^2/2*$B$1)/(G68*SQRT($B$1)))-G68*SQRT($B$1),TRUE)),L68*((J68*EXP(I68*$B$1))*_xlfn.NORM.S.DIST(-(((LN(E68/J68)-F68*$B$1+G68^2/2*$B$1)/(G68*SQRT($B$1)))-G68*SQRT($B$1)),TRUE)-(E68*EXP((I68-F68)*$B$1))*_xlfn.NORM.S.DIST(-((LN(E68/J68)-F68*$B$1+G68^2/2*$B$1)/(G68*SQRT($B$1))),TRUE))),"reset: see AnalyticCheck"))))</f>
        <v/>
      </c>
    </row>
    <row r="69" spans="1:17" x14ac:dyDescent="0.35">
      <c r="A69" t="str">
        <f>IF(Trades!$A67="","",Trades!$A67)</f>
        <v/>
      </c>
      <c r="B69" t="str">
        <f>IF(A69="","",Trades!$C67)</f>
        <v/>
      </c>
      <c r="C69" t="str">
        <f>IF(A69="","",UPPER(Trades!$D67))</f>
        <v/>
      </c>
      <c r="D69" t="str">
        <f>IF(A69="","",Trades!$E67)</f>
        <v/>
      </c>
      <c r="E69" s="13" t="str">
        <f>IF(A69="","",INDEX(Market!$J:$J,MATCH(D69,Market!$A:$A,0)))</f>
        <v/>
      </c>
      <c r="F69" s="13" t="str">
        <f>IF(A69="","",INDEX(Market!$K:$K,MATCH(D69,Market!$A:$A,0)))</f>
        <v/>
      </c>
      <c r="G69" s="13" t="str">
        <f>IF(A69="","",IF(AND(C69="OPTION",Trades!$T67&lt;&gt;""),Trades!$T67,INDEX(Market!$L:$L,MATCH(D69,Market!$A:$A,0))))</f>
        <v/>
      </c>
      <c r="H69" s="13" t="str">
        <f>IF(A69="","",IF(ISNUMBER(IF(C69="OPTION",Trades!$S67,Trades!$I67)),(IF(C69="OPTION",Trades!$S67,Trades!$I67)-Config!$B$2)/365,VALUE(LEFT(IF(C69="OPTION",Trades!$S67,Trades!$I67),LEN(IF(C69="OPTION",Trades!$S67,Trades!$I67))-1))*CHOOSE(MATCH(RIGHT(IF(C69="OPTION",Trades!$S67,Trades!$I67),1),{"D","W","M","Y"},0),1/365,7/365,1/12,1)))</f>
        <v/>
      </c>
      <c r="I69" s="13" t="str">
        <f>IF(A69="","",IFERROR(LOOKUP(2,1/((Curve!$G$2:$G$200=IF(IFERROR(INDEX(Market!$M:$M,MATCH(D69,Market!$A:$A,0))&amp;"","")="",IFERROR(VLOOKUP("reporting_ccy",Config!$A:$B,2,FALSE),""),INDEX(Market!$M:$M,MATCH(D69,Market!$A:$A,0))))*(Curve!$F$2:$F$200&lt;=H69)),Curve!$E$2:$E$200),IFERROR(INDEX(Curve!$E:$E,MATCH(IF(IFERROR(INDEX(Market!$M:$M,MATCH(D69,Market!$A:$A,0))&amp;"","")="",IFERROR(VLOOKUP("reporting_ccy",Config!$A:$B,2,FALSE),""),INDEX(Market!$M:$M,MATCH(D69,Market!$A:$A,0))),Curve!$G:$G,0)),Curve!$E$2)))</f>
        <v/>
      </c>
      <c r="J69" s="13" t="str">
        <f>IF(A69="","",IF(C69="OPTION",IF(ISNUMBER(Trades!$R67),Trades!$R67,IF(RIGHT(Trades!$R67,1)="%",VALUE(SUBSTITUTE(Trades!$R67,"%",""))/100*E69,VALUE(Trades!$R67))),IF(UPPER(Trades!$M67)="AVERAGE",Trades!$N67,E69)))</f>
        <v/>
      </c>
      <c r="K69" s="13" t="str">
        <f>IF(A69="","",IF(OR(UPPER(Trades!$F67)="BUY",UPPER(Trades!$F67)="RECEIVE_EQUITY"),1,-1))</f>
        <v/>
      </c>
      <c r="L69" s="13" t="str">
        <f>IF(A69="","",Trades!$G67)</f>
        <v/>
      </c>
      <c r="M69" s="13" t="str">
        <f>IF(A69="","",(LN(E69/J69)+(I69-F69+G69^2/2)*H69)/(G69*SQRT(H69)))</f>
        <v/>
      </c>
      <c r="N69" s="14" t="str">
        <f>IF(A69="","",IF(C69="OPTION",K69*L69*IF(LEFT(UPPER(Trades!$Q67),1)="C",(E69*EXP(-F69*H69)*_xlfn.NORM.S.DIST(M69,TRUE)-J69*EXP(-I69*H69)*_xlfn.NORM.S.DIST(M69-G69*SQRT(H69),TRUE)),(J69*EXP(-I69*H69)*_xlfn.NORM.S.DIST(-(M69-G69*SQRT(H69)),TRUE)-E69*EXP(-F69*H69)*_xlfn.NORM.S.DIST(-M69,TRUE))),K69*L69*(E69-J69)+IF(UPPER(Trades!$M67)="AVERAGE",0,N(Trades!$O67))-K69*L69*J69*N(Trades!$L67)*H69*365/360*EXP(-I69*H69/2)))</f>
        <v/>
      </c>
      <c r="O69" s="14" t="str">
        <f>IF(A69="","",SUMIFS(LegMTM!$F:$F,LegMTM!$B:$B,A69,LegMTM!$C:$C,B69))</f>
        <v/>
      </c>
      <c r="P69" s="14" t="str">
        <f>IF(A69="","",N69-O69)</f>
        <v/>
      </c>
      <c r="Q69" s="14" t="str">
        <f>IF(A69="","",IF($B$1&gt;=H69,0,IF(C69="OPTION",IF(K69&gt;0,N69*EXP(I69*$B$1),0),IF(OR(UPPER(Trades!$J67)="",UPPER(Trades!$J67)="NONE"),IF(K69&gt;0,L69*((E69*EXP((I69-F69)*$B$1))*_xlfn.NORM.S.DIST(((LN(E69/J69)-F69*$B$1+G69^2/2*$B$1)/(G69*SQRT($B$1))),TRUE)-(J69*EXP(I69*$B$1))*_xlfn.NORM.S.DIST(((LN(E69/J69)-F69*$B$1+G69^2/2*$B$1)/(G69*SQRT($B$1)))-G69*SQRT($B$1),TRUE)),L69*((J69*EXP(I69*$B$1))*_xlfn.NORM.S.DIST(-(((LN(E69/J69)-F69*$B$1+G69^2/2*$B$1)/(G69*SQRT($B$1)))-G69*SQRT($B$1)),TRUE)-(E69*EXP((I69-F69)*$B$1))*_xlfn.NORM.S.DIST(-((LN(E69/J69)-F69*$B$1+G69^2/2*$B$1)/(G69*SQRT($B$1))),TRUE))),"reset: see AnalyticCheck"))))</f>
        <v/>
      </c>
    </row>
    <row r="70" spans="1:17" x14ac:dyDescent="0.35">
      <c r="A70" t="str">
        <f>IF(Trades!$A68="","",Trades!$A68)</f>
        <v/>
      </c>
      <c r="B70" t="str">
        <f>IF(A70="","",Trades!$C68)</f>
        <v/>
      </c>
      <c r="C70" t="str">
        <f>IF(A70="","",UPPER(Trades!$D68))</f>
        <v/>
      </c>
      <c r="D70" t="str">
        <f>IF(A70="","",Trades!$E68)</f>
        <v/>
      </c>
      <c r="E70" s="13" t="str">
        <f>IF(A70="","",INDEX(Market!$J:$J,MATCH(D70,Market!$A:$A,0)))</f>
        <v/>
      </c>
      <c r="F70" s="13" t="str">
        <f>IF(A70="","",INDEX(Market!$K:$K,MATCH(D70,Market!$A:$A,0)))</f>
        <v/>
      </c>
      <c r="G70" s="13" t="str">
        <f>IF(A70="","",IF(AND(C70="OPTION",Trades!$T68&lt;&gt;""),Trades!$T68,INDEX(Market!$L:$L,MATCH(D70,Market!$A:$A,0))))</f>
        <v/>
      </c>
      <c r="H70" s="13" t="str">
        <f>IF(A70="","",IF(ISNUMBER(IF(C70="OPTION",Trades!$S68,Trades!$I68)),(IF(C70="OPTION",Trades!$S68,Trades!$I68)-Config!$B$2)/365,VALUE(LEFT(IF(C70="OPTION",Trades!$S68,Trades!$I68),LEN(IF(C70="OPTION",Trades!$S68,Trades!$I68))-1))*CHOOSE(MATCH(RIGHT(IF(C70="OPTION",Trades!$S68,Trades!$I68),1),{"D","W","M","Y"},0),1/365,7/365,1/12,1)))</f>
        <v/>
      </c>
      <c r="I70" s="13" t="str">
        <f>IF(A70="","",IFERROR(LOOKUP(2,1/((Curve!$G$2:$G$200=IF(IFERROR(INDEX(Market!$M:$M,MATCH(D70,Market!$A:$A,0))&amp;"","")="",IFERROR(VLOOKUP("reporting_ccy",Config!$A:$B,2,FALSE),""),INDEX(Market!$M:$M,MATCH(D70,Market!$A:$A,0))))*(Curve!$F$2:$F$200&lt;=H70)),Curve!$E$2:$E$200),IFERROR(INDEX(Curve!$E:$E,MATCH(IF(IFERROR(INDEX(Market!$M:$M,MATCH(D70,Market!$A:$A,0))&amp;"","")="",IFERROR(VLOOKUP("reporting_ccy",Config!$A:$B,2,FALSE),""),INDEX(Market!$M:$M,MATCH(D70,Market!$A:$A,0))),Curve!$G:$G,0)),Curve!$E$2)))</f>
        <v/>
      </c>
      <c r="J70" s="13" t="str">
        <f>IF(A70="","",IF(C70="OPTION",IF(ISNUMBER(Trades!$R68),Trades!$R68,IF(RIGHT(Trades!$R68,1)="%",VALUE(SUBSTITUTE(Trades!$R68,"%",""))/100*E70,VALUE(Trades!$R68))),IF(UPPER(Trades!$M68)="AVERAGE",Trades!$N68,E70)))</f>
        <v/>
      </c>
      <c r="K70" s="13" t="str">
        <f>IF(A70="","",IF(OR(UPPER(Trades!$F68)="BUY",UPPER(Trades!$F68)="RECEIVE_EQUITY"),1,-1))</f>
        <v/>
      </c>
      <c r="L70" s="13" t="str">
        <f>IF(A70="","",Trades!$G68)</f>
        <v/>
      </c>
      <c r="M70" s="13" t="str">
        <f>IF(A70="","",(LN(E70/J70)+(I70-F70+G70^2/2)*H70)/(G70*SQRT(H70)))</f>
        <v/>
      </c>
      <c r="N70" s="14" t="str">
        <f>IF(A70="","",IF(C70="OPTION",K70*L70*IF(LEFT(UPPER(Trades!$Q68),1)="C",(E70*EXP(-F70*H70)*_xlfn.NORM.S.DIST(M70,TRUE)-J70*EXP(-I70*H70)*_xlfn.NORM.S.DIST(M70-G70*SQRT(H70),TRUE)),(J70*EXP(-I70*H70)*_xlfn.NORM.S.DIST(-(M70-G70*SQRT(H70)),TRUE)-E70*EXP(-F70*H70)*_xlfn.NORM.S.DIST(-M70,TRUE))),K70*L70*(E70-J70)+IF(UPPER(Trades!$M68)="AVERAGE",0,N(Trades!$O68))-K70*L70*J70*N(Trades!$L68)*H70*365/360*EXP(-I70*H70/2)))</f>
        <v/>
      </c>
      <c r="O70" s="14" t="str">
        <f>IF(A70="","",SUMIFS(LegMTM!$F:$F,LegMTM!$B:$B,A70,LegMTM!$C:$C,B70))</f>
        <v/>
      </c>
      <c r="P70" s="14" t="str">
        <f>IF(A70="","",N70-O70)</f>
        <v/>
      </c>
      <c r="Q70" s="14" t="str">
        <f>IF(A70="","",IF($B$1&gt;=H70,0,IF(C70="OPTION",IF(K70&gt;0,N70*EXP(I70*$B$1),0),IF(OR(UPPER(Trades!$J68)="",UPPER(Trades!$J68)="NONE"),IF(K70&gt;0,L70*((E70*EXP((I70-F70)*$B$1))*_xlfn.NORM.S.DIST(((LN(E70/J70)-F70*$B$1+G70^2/2*$B$1)/(G70*SQRT($B$1))),TRUE)-(J70*EXP(I70*$B$1))*_xlfn.NORM.S.DIST(((LN(E70/J70)-F70*$B$1+G70^2/2*$B$1)/(G70*SQRT($B$1)))-G70*SQRT($B$1),TRUE)),L70*((J70*EXP(I70*$B$1))*_xlfn.NORM.S.DIST(-(((LN(E70/J70)-F70*$B$1+G70^2/2*$B$1)/(G70*SQRT($B$1)))-G70*SQRT($B$1)),TRUE)-(E70*EXP((I70-F70)*$B$1))*_xlfn.NORM.S.DIST(-((LN(E70/J70)-F70*$B$1+G70^2/2*$B$1)/(G70*SQRT($B$1))),TRUE))),"reset: see AnalyticCheck"))))</f>
        <v/>
      </c>
    </row>
    <row r="71" spans="1:17" x14ac:dyDescent="0.35">
      <c r="A71" t="str">
        <f>IF(Trades!$A69="","",Trades!$A69)</f>
        <v/>
      </c>
      <c r="B71" t="str">
        <f>IF(A71="","",Trades!$C69)</f>
        <v/>
      </c>
      <c r="C71" t="str">
        <f>IF(A71="","",UPPER(Trades!$D69))</f>
        <v/>
      </c>
      <c r="D71" t="str">
        <f>IF(A71="","",Trades!$E69)</f>
        <v/>
      </c>
      <c r="E71" s="13" t="str">
        <f>IF(A71="","",INDEX(Market!$J:$J,MATCH(D71,Market!$A:$A,0)))</f>
        <v/>
      </c>
      <c r="F71" s="13" t="str">
        <f>IF(A71="","",INDEX(Market!$K:$K,MATCH(D71,Market!$A:$A,0)))</f>
        <v/>
      </c>
      <c r="G71" s="13" t="str">
        <f>IF(A71="","",IF(AND(C71="OPTION",Trades!$T69&lt;&gt;""),Trades!$T69,INDEX(Market!$L:$L,MATCH(D71,Market!$A:$A,0))))</f>
        <v/>
      </c>
      <c r="H71" s="13" t="str">
        <f>IF(A71="","",IF(ISNUMBER(IF(C71="OPTION",Trades!$S69,Trades!$I69)),(IF(C71="OPTION",Trades!$S69,Trades!$I69)-Config!$B$2)/365,VALUE(LEFT(IF(C71="OPTION",Trades!$S69,Trades!$I69),LEN(IF(C71="OPTION",Trades!$S69,Trades!$I69))-1))*CHOOSE(MATCH(RIGHT(IF(C71="OPTION",Trades!$S69,Trades!$I69),1),{"D","W","M","Y"},0),1/365,7/365,1/12,1)))</f>
        <v/>
      </c>
      <c r="I71" s="13" t="str">
        <f>IF(A71="","",IFERROR(LOOKUP(2,1/((Curve!$G$2:$G$200=IF(IFERROR(INDEX(Market!$M:$M,MATCH(D71,Market!$A:$A,0))&amp;"","")="",IFERROR(VLOOKUP("reporting_ccy",Config!$A:$B,2,FALSE),""),INDEX(Market!$M:$M,MATCH(D71,Market!$A:$A,0))))*(Curve!$F$2:$F$200&lt;=H71)),Curve!$E$2:$E$200),IFERROR(INDEX(Curve!$E:$E,MATCH(IF(IFERROR(INDEX(Market!$M:$M,MATCH(D71,Market!$A:$A,0))&amp;"","")="",IFERROR(VLOOKUP("reporting_ccy",Config!$A:$B,2,FALSE),""),INDEX(Market!$M:$M,MATCH(D71,Market!$A:$A,0))),Curve!$G:$G,0)),Curve!$E$2)))</f>
        <v/>
      </c>
      <c r="J71" s="13" t="str">
        <f>IF(A71="","",IF(C71="OPTION",IF(ISNUMBER(Trades!$R69),Trades!$R69,IF(RIGHT(Trades!$R69,1)="%",VALUE(SUBSTITUTE(Trades!$R69,"%",""))/100*E71,VALUE(Trades!$R69))),IF(UPPER(Trades!$M69)="AVERAGE",Trades!$N69,E71)))</f>
        <v/>
      </c>
      <c r="K71" s="13" t="str">
        <f>IF(A71="","",IF(OR(UPPER(Trades!$F69)="BUY",UPPER(Trades!$F69)="RECEIVE_EQUITY"),1,-1))</f>
        <v/>
      </c>
      <c r="L71" s="13" t="str">
        <f>IF(A71="","",Trades!$G69)</f>
        <v/>
      </c>
      <c r="M71" s="13" t="str">
        <f>IF(A71="","",(LN(E71/J71)+(I71-F71+G71^2/2)*H71)/(G71*SQRT(H71)))</f>
        <v/>
      </c>
      <c r="N71" s="14" t="str">
        <f>IF(A71="","",IF(C71="OPTION",K71*L71*IF(LEFT(UPPER(Trades!$Q69),1)="C",(E71*EXP(-F71*H71)*_xlfn.NORM.S.DIST(M71,TRUE)-J71*EXP(-I71*H71)*_xlfn.NORM.S.DIST(M71-G71*SQRT(H71),TRUE)),(J71*EXP(-I71*H71)*_xlfn.NORM.S.DIST(-(M71-G71*SQRT(H71)),TRUE)-E71*EXP(-F71*H71)*_xlfn.NORM.S.DIST(-M71,TRUE))),K71*L71*(E71-J71)+IF(UPPER(Trades!$M69)="AVERAGE",0,N(Trades!$O69))-K71*L71*J71*N(Trades!$L69)*H71*365/360*EXP(-I71*H71/2)))</f>
        <v/>
      </c>
      <c r="O71" s="14" t="str">
        <f>IF(A71="","",SUMIFS(LegMTM!$F:$F,LegMTM!$B:$B,A71,LegMTM!$C:$C,B71))</f>
        <v/>
      </c>
      <c r="P71" s="14" t="str">
        <f>IF(A71="","",N71-O71)</f>
        <v/>
      </c>
      <c r="Q71" s="14" t="str">
        <f>IF(A71="","",IF($B$1&gt;=H71,0,IF(C71="OPTION",IF(K71&gt;0,N71*EXP(I71*$B$1),0),IF(OR(UPPER(Trades!$J69)="",UPPER(Trades!$J69)="NONE"),IF(K71&gt;0,L71*((E71*EXP((I71-F71)*$B$1))*_xlfn.NORM.S.DIST(((LN(E71/J71)-F71*$B$1+G71^2/2*$B$1)/(G71*SQRT($B$1))),TRUE)-(J71*EXP(I71*$B$1))*_xlfn.NORM.S.DIST(((LN(E71/J71)-F71*$B$1+G71^2/2*$B$1)/(G71*SQRT($B$1)))-G71*SQRT($B$1),TRUE)),L71*((J71*EXP(I71*$B$1))*_xlfn.NORM.S.DIST(-(((LN(E71/J71)-F71*$B$1+G71^2/2*$B$1)/(G71*SQRT($B$1)))-G71*SQRT($B$1)),TRUE)-(E71*EXP((I71-F71)*$B$1))*_xlfn.NORM.S.DIST(-((LN(E71/J71)-F71*$B$1+G71^2/2*$B$1)/(G71*SQRT($B$1))),TRUE))),"reset: see AnalyticCheck"))))</f>
        <v/>
      </c>
    </row>
    <row r="72" spans="1:17" x14ac:dyDescent="0.35">
      <c r="A72" t="str">
        <f>IF(Trades!$A70="","",Trades!$A70)</f>
        <v/>
      </c>
      <c r="B72" t="str">
        <f>IF(A72="","",Trades!$C70)</f>
        <v/>
      </c>
      <c r="C72" t="str">
        <f>IF(A72="","",UPPER(Trades!$D70))</f>
        <v/>
      </c>
      <c r="D72" t="str">
        <f>IF(A72="","",Trades!$E70)</f>
        <v/>
      </c>
      <c r="E72" s="13" t="str">
        <f>IF(A72="","",INDEX(Market!$J:$J,MATCH(D72,Market!$A:$A,0)))</f>
        <v/>
      </c>
      <c r="F72" s="13" t="str">
        <f>IF(A72="","",INDEX(Market!$K:$K,MATCH(D72,Market!$A:$A,0)))</f>
        <v/>
      </c>
      <c r="G72" s="13" t="str">
        <f>IF(A72="","",IF(AND(C72="OPTION",Trades!$T70&lt;&gt;""),Trades!$T70,INDEX(Market!$L:$L,MATCH(D72,Market!$A:$A,0))))</f>
        <v/>
      </c>
      <c r="H72" s="13" t="str">
        <f>IF(A72="","",IF(ISNUMBER(IF(C72="OPTION",Trades!$S70,Trades!$I70)),(IF(C72="OPTION",Trades!$S70,Trades!$I70)-Config!$B$2)/365,VALUE(LEFT(IF(C72="OPTION",Trades!$S70,Trades!$I70),LEN(IF(C72="OPTION",Trades!$S70,Trades!$I70))-1))*CHOOSE(MATCH(RIGHT(IF(C72="OPTION",Trades!$S70,Trades!$I70),1),{"D","W","M","Y"},0),1/365,7/365,1/12,1)))</f>
        <v/>
      </c>
      <c r="I72" s="13" t="str">
        <f>IF(A72="","",IFERROR(LOOKUP(2,1/((Curve!$G$2:$G$200=IF(IFERROR(INDEX(Market!$M:$M,MATCH(D72,Market!$A:$A,0))&amp;"","")="",IFERROR(VLOOKUP("reporting_ccy",Config!$A:$B,2,FALSE),""),INDEX(Market!$M:$M,MATCH(D72,Market!$A:$A,0))))*(Curve!$F$2:$F$200&lt;=H72)),Curve!$E$2:$E$200),IFERROR(INDEX(Curve!$E:$E,MATCH(IF(IFERROR(INDEX(Market!$M:$M,MATCH(D72,Market!$A:$A,0))&amp;"","")="",IFERROR(VLOOKUP("reporting_ccy",Config!$A:$B,2,FALSE),""),INDEX(Market!$M:$M,MATCH(D72,Market!$A:$A,0))),Curve!$G:$G,0)),Curve!$E$2)))</f>
        <v/>
      </c>
      <c r="J72" s="13" t="str">
        <f>IF(A72="","",IF(C72="OPTION",IF(ISNUMBER(Trades!$R70),Trades!$R70,IF(RIGHT(Trades!$R70,1)="%",VALUE(SUBSTITUTE(Trades!$R70,"%",""))/100*E72,VALUE(Trades!$R70))),IF(UPPER(Trades!$M70)="AVERAGE",Trades!$N70,E72)))</f>
        <v/>
      </c>
      <c r="K72" s="13" t="str">
        <f>IF(A72="","",IF(OR(UPPER(Trades!$F70)="BUY",UPPER(Trades!$F70)="RECEIVE_EQUITY"),1,-1))</f>
        <v/>
      </c>
      <c r="L72" s="13" t="str">
        <f>IF(A72="","",Trades!$G70)</f>
        <v/>
      </c>
      <c r="M72" s="13" t="str">
        <f>IF(A72="","",(LN(E72/J72)+(I72-F72+G72^2/2)*H72)/(G72*SQRT(H72)))</f>
        <v/>
      </c>
      <c r="N72" s="14" t="str">
        <f>IF(A72="","",IF(C72="OPTION",K72*L72*IF(LEFT(UPPER(Trades!$Q70),1)="C",(E72*EXP(-F72*H72)*_xlfn.NORM.S.DIST(M72,TRUE)-J72*EXP(-I72*H72)*_xlfn.NORM.S.DIST(M72-G72*SQRT(H72),TRUE)),(J72*EXP(-I72*H72)*_xlfn.NORM.S.DIST(-(M72-G72*SQRT(H72)),TRUE)-E72*EXP(-F72*H72)*_xlfn.NORM.S.DIST(-M72,TRUE))),K72*L72*(E72-J72)+IF(UPPER(Trades!$M70)="AVERAGE",0,N(Trades!$O70))-K72*L72*J72*N(Trades!$L70)*H72*365/360*EXP(-I72*H72/2)))</f>
        <v/>
      </c>
      <c r="O72" s="14" t="str">
        <f>IF(A72="","",SUMIFS(LegMTM!$F:$F,LegMTM!$B:$B,A72,LegMTM!$C:$C,B72))</f>
        <v/>
      </c>
      <c r="P72" s="14" t="str">
        <f>IF(A72="","",N72-O72)</f>
        <v/>
      </c>
      <c r="Q72" s="14" t="str">
        <f>IF(A72="","",IF($B$1&gt;=H72,0,IF(C72="OPTION",IF(K72&gt;0,N72*EXP(I72*$B$1),0),IF(OR(UPPER(Trades!$J70)="",UPPER(Trades!$J70)="NONE"),IF(K72&gt;0,L72*((E72*EXP((I72-F72)*$B$1))*_xlfn.NORM.S.DIST(((LN(E72/J72)-F72*$B$1+G72^2/2*$B$1)/(G72*SQRT($B$1))),TRUE)-(J72*EXP(I72*$B$1))*_xlfn.NORM.S.DIST(((LN(E72/J72)-F72*$B$1+G72^2/2*$B$1)/(G72*SQRT($B$1)))-G72*SQRT($B$1),TRUE)),L72*((J72*EXP(I72*$B$1))*_xlfn.NORM.S.DIST(-(((LN(E72/J72)-F72*$B$1+G72^2/2*$B$1)/(G72*SQRT($B$1)))-G72*SQRT($B$1)),TRUE)-(E72*EXP((I72-F72)*$B$1))*_xlfn.NORM.S.DIST(-((LN(E72/J72)-F72*$B$1+G72^2/2*$B$1)/(G72*SQRT($B$1))),TRUE))),"reset: see AnalyticCheck"))))</f>
        <v/>
      </c>
    </row>
    <row r="73" spans="1:17" x14ac:dyDescent="0.35">
      <c r="A73" t="str">
        <f>IF(Trades!$A71="","",Trades!$A71)</f>
        <v/>
      </c>
      <c r="B73" t="str">
        <f>IF(A73="","",Trades!$C71)</f>
        <v/>
      </c>
      <c r="C73" t="str">
        <f>IF(A73="","",UPPER(Trades!$D71))</f>
        <v/>
      </c>
      <c r="D73" t="str">
        <f>IF(A73="","",Trades!$E71)</f>
        <v/>
      </c>
      <c r="E73" s="13" t="str">
        <f>IF(A73="","",INDEX(Market!$J:$J,MATCH(D73,Market!$A:$A,0)))</f>
        <v/>
      </c>
      <c r="F73" s="13" t="str">
        <f>IF(A73="","",INDEX(Market!$K:$K,MATCH(D73,Market!$A:$A,0)))</f>
        <v/>
      </c>
      <c r="G73" s="13" t="str">
        <f>IF(A73="","",IF(AND(C73="OPTION",Trades!$T71&lt;&gt;""),Trades!$T71,INDEX(Market!$L:$L,MATCH(D73,Market!$A:$A,0))))</f>
        <v/>
      </c>
      <c r="H73" s="13" t="str">
        <f>IF(A73="","",IF(ISNUMBER(IF(C73="OPTION",Trades!$S71,Trades!$I71)),(IF(C73="OPTION",Trades!$S71,Trades!$I71)-Config!$B$2)/365,VALUE(LEFT(IF(C73="OPTION",Trades!$S71,Trades!$I71),LEN(IF(C73="OPTION",Trades!$S71,Trades!$I71))-1))*CHOOSE(MATCH(RIGHT(IF(C73="OPTION",Trades!$S71,Trades!$I71),1),{"D","W","M","Y"},0),1/365,7/365,1/12,1)))</f>
        <v/>
      </c>
      <c r="I73" s="13" t="str">
        <f>IF(A73="","",IFERROR(LOOKUP(2,1/((Curve!$G$2:$G$200=IF(IFERROR(INDEX(Market!$M:$M,MATCH(D73,Market!$A:$A,0))&amp;"","")="",IFERROR(VLOOKUP("reporting_ccy",Config!$A:$B,2,FALSE),""),INDEX(Market!$M:$M,MATCH(D73,Market!$A:$A,0))))*(Curve!$F$2:$F$200&lt;=H73)),Curve!$E$2:$E$200),IFERROR(INDEX(Curve!$E:$E,MATCH(IF(IFERROR(INDEX(Market!$M:$M,MATCH(D73,Market!$A:$A,0))&amp;"","")="",IFERROR(VLOOKUP("reporting_ccy",Config!$A:$B,2,FALSE),""),INDEX(Market!$M:$M,MATCH(D73,Market!$A:$A,0))),Curve!$G:$G,0)),Curve!$E$2)))</f>
        <v/>
      </c>
      <c r="J73" s="13" t="str">
        <f>IF(A73="","",IF(C73="OPTION",IF(ISNUMBER(Trades!$R71),Trades!$R71,IF(RIGHT(Trades!$R71,1)="%",VALUE(SUBSTITUTE(Trades!$R71,"%",""))/100*E73,VALUE(Trades!$R71))),IF(UPPER(Trades!$M71)="AVERAGE",Trades!$N71,E73)))</f>
        <v/>
      </c>
      <c r="K73" s="13" t="str">
        <f>IF(A73="","",IF(OR(UPPER(Trades!$F71)="BUY",UPPER(Trades!$F71)="RECEIVE_EQUITY"),1,-1))</f>
        <v/>
      </c>
      <c r="L73" s="13" t="str">
        <f>IF(A73="","",Trades!$G71)</f>
        <v/>
      </c>
      <c r="M73" s="13" t="str">
        <f>IF(A73="","",(LN(E73/J73)+(I73-F73+G73^2/2)*H73)/(G73*SQRT(H73)))</f>
        <v/>
      </c>
      <c r="N73" s="14" t="str">
        <f>IF(A73="","",IF(C73="OPTION",K73*L73*IF(LEFT(UPPER(Trades!$Q71),1)="C",(E73*EXP(-F73*H73)*_xlfn.NORM.S.DIST(M73,TRUE)-J73*EXP(-I73*H73)*_xlfn.NORM.S.DIST(M73-G73*SQRT(H73),TRUE)),(J73*EXP(-I73*H73)*_xlfn.NORM.S.DIST(-(M73-G73*SQRT(H73)),TRUE)-E73*EXP(-F73*H73)*_xlfn.NORM.S.DIST(-M73,TRUE))),K73*L73*(E73-J73)+IF(UPPER(Trades!$M71)="AVERAGE",0,N(Trades!$O71))-K73*L73*J73*N(Trades!$L71)*H73*365/360*EXP(-I73*H73/2)))</f>
        <v/>
      </c>
      <c r="O73" s="14" t="str">
        <f>IF(A73="","",SUMIFS(LegMTM!$F:$F,LegMTM!$B:$B,A73,LegMTM!$C:$C,B73))</f>
        <v/>
      </c>
      <c r="P73" s="14" t="str">
        <f>IF(A73="","",N73-O73)</f>
        <v/>
      </c>
      <c r="Q73" s="14" t="str">
        <f>IF(A73="","",IF($B$1&gt;=H73,0,IF(C73="OPTION",IF(K73&gt;0,N73*EXP(I73*$B$1),0),IF(OR(UPPER(Trades!$J71)="",UPPER(Trades!$J71)="NONE"),IF(K73&gt;0,L73*((E73*EXP((I73-F73)*$B$1))*_xlfn.NORM.S.DIST(((LN(E73/J73)-F73*$B$1+G73^2/2*$B$1)/(G73*SQRT($B$1))),TRUE)-(J73*EXP(I73*$B$1))*_xlfn.NORM.S.DIST(((LN(E73/J73)-F73*$B$1+G73^2/2*$B$1)/(G73*SQRT($B$1)))-G73*SQRT($B$1),TRUE)),L73*((J73*EXP(I73*$B$1))*_xlfn.NORM.S.DIST(-(((LN(E73/J73)-F73*$B$1+G73^2/2*$B$1)/(G73*SQRT($B$1)))-G73*SQRT($B$1)),TRUE)-(E73*EXP((I73-F73)*$B$1))*_xlfn.NORM.S.DIST(-((LN(E73/J73)-F73*$B$1+G73^2/2*$B$1)/(G73*SQRT($B$1))),TRUE))),"reset: see AnalyticCheck"))))</f>
        <v/>
      </c>
    </row>
    <row r="74" spans="1:17" x14ac:dyDescent="0.35">
      <c r="A74" t="str">
        <f>IF(Trades!$A72="","",Trades!$A72)</f>
        <v/>
      </c>
      <c r="B74" t="str">
        <f>IF(A74="","",Trades!$C72)</f>
        <v/>
      </c>
      <c r="C74" t="str">
        <f>IF(A74="","",UPPER(Trades!$D72))</f>
        <v/>
      </c>
      <c r="D74" t="str">
        <f>IF(A74="","",Trades!$E72)</f>
        <v/>
      </c>
      <c r="E74" s="13" t="str">
        <f>IF(A74="","",INDEX(Market!$J:$J,MATCH(D74,Market!$A:$A,0)))</f>
        <v/>
      </c>
      <c r="F74" s="13" t="str">
        <f>IF(A74="","",INDEX(Market!$K:$K,MATCH(D74,Market!$A:$A,0)))</f>
        <v/>
      </c>
      <c r="G74" s="13" t="str">
        <f>IF(A74="","",IF(AND(C74="OPTION",Trades!$T72&lt;&gt;""),Trades!$T72,INDEX(Market!$L:$L,MATCH(D74,Market!$A:$A,0))))</f>
        <v/>
      </c>
      <c r="H74" s="13" t="str">
        <f>IF(A74="","",IF(ISNUMBER(IF(C74="OPTION",Trades!$S72,Trades!$I72)),(IF(C74="OPTION",Trades!$S72,Trades!$I72)-Config!$B$2)/365,VALUE(LEFT(IF(C74="OPTION",Trades!$S72,Trades!$I72),LEN(IF(C74="OPTION",Trades!$S72,Trades!$I72))-1))*CHOOSE(MATCH(RIGHT(IF(C74="OPTION",Trades!$S72,Trades!$I72),1),{"D","W","M","Y"},0),1/365,7/365,1/12,1)))</f>
        <v/>
      </c>
      <c r="I74" s="13" t="str">
        <f>IF(A74="","",IFERROR(LOOKUP(2,1/((Curve!$G$2:$G$200=IF(IFERROR(INDEX(Market!$M:$M,MATCH(D74,Market!$A:$A,0))&amp;"","")="",IFERROR(VLOOKUP("reporting_ccy",Config!$A:$B,2,FALSE),""),INDEX(Market!$M:$M,MATCH(D74,Market!$A:$A,0))))*(Curve!$F$2:$F$200&lt;=H74)),Curve!$E$2:$E$200),IFERROR(INDEX(Curve!$E:$E,MATCH(IF(IFERROR(INDEX(Market!$M:$M,MATCH(D74,Market!$A:$A,0))&amp;"","")="",IFERROR(VLOOKUP("reporting_ccy",Config!$A:$B,2,FALSE),""),INDEX(Market!$M:$M,MATCH(D74,Market!$A:$A,0))),Curve!$G:$G,0)),Curve!$E$2)))</f>
        <v/>
      </c>
      <c r="J74" s="13" t="str">
        <f>IF(A74="","",IF(C74="OPTION",IF(ISNUMBER(Trades!$R72),Trades!$R72,IF(RIGHT(Trades!$R72,1)="%",VALUE(SUBSTITUTE(Trades!$R72,"%",""))/100*E74,VALUE(Trades!$R72))),IF(UPPER(Trades!$M72)="AVERAGE",Trades!$N72,E74)))</f>
        <v/>
      </c>
      <c r="K74" s="13" t="str">
        <f>IF(A74="","",IF(OR(UPPER(Trades!$F72)="BUY",UPPER(Trades!$F72)="RECEIVE_EQUITY"),1,-1))</f>
        <v/>
      </c>
      <c r="L74" s="13" t="str">
        <f>IF(A74="","",Trades!$G72)</f>
        <v/>
      </c>
      <c r="M74" s="13" t="str">
        <f>IF(A74="","",(LN(E74/J74)+(I74-F74+G74^2/2)*H74)/(G74*SQRT(H74)))</f>
        <v/>
      </c>
      <c r="N74" s="14" t="str">
        <f>IF(A74="","",IF(C74="OPTION",K74*L74*IF(LEFT(UPPER(Trades!$Q72),1)="C",(E74*EXP(-F74*H74)*_xlfn.NORM.S.DIST(M74,TRUE)-J74*EXP(-I74*H74)*_xlfn.NORM.S.DIST(M74-G74*SQRT(H74),TRUE)),(J74*EXP(-I74*H74)*_xlfn.NORM.S.DIST(-(M74-G74*SQRT(H74)),TRUE)-E74*EXP(-F74*H74)*_xlfn.NORM.S.DIST(-M74,TRUE))),K74*L74*(E74-J74)+IF(UPPER(Trades!$M72)="AVERAGE",0,N(Trades!$O72))-K74*L74*J74*N(Trades!$L72)*H74*365/360*EXP(-I74*H74/2)))</f>
        <v/>
      </c>
      <c r="O74" s="14" t="str">
        <f>IF(A74="","",SUMIFS(LegMTM!$F:$F,LegMTM!$B:$B,A74,LegMTM!$C:$C,B74))</f>
        <v/>
      </c>
      <c r="P74" s="14" t="str">
        <f>IF(A74="","",N74-O74)</f>
        <v/>
      </c>
      <c r="Q74" s="14" t="str">
        <f>IF(A74="","",IF($B$1&gt;=H74,0,IF(C74="OPTION",IF(K74&gt;0,N74*EXP(I74*$B$1),0),IF(OR(UPPER(Trades!$J72)="",UPPER(Trades!$J72)="NONE"),IF(K74&gt;0,L74*((E74*EXP((I74-F74)*$B$1))*_xlfn.NORM.S.DIST(((LN(E74/J74)-F74*$B$1+G74^2/2*$B$1)/(G74*SQRT($B$1))),TRUE)-(J74*EXP(I74*$B$1))*_xlfn.NORM.S.DIST(((LN(E74/J74)-F74*$B$1+G74^2/2*$B$1)/(G74*SQRT($B$1)))-G74*SQRT($B$1),TRUE)),L74*((J74*EXP(I74*$B$1))*_xlfn.NORM.S.DIST(-(((LN(E74/J74)-F74*$B$1+G74^2/2*$B$1)/(G74*SQRT($B$1)))-G74*SQRT($B$1)),TRUE)-(E74*EXP((I74-F74)*$B$1))*_xlfn.NORM.S.DIST(-((LN(E74/J74)-F74*$B$1+G74^2/2*$B$1)/(G74*SQRT($B$1))),TRUE))),"reset: see AnalyticCheck"))))</f>
        <v/>
      </c>
    </row>
    <row r="75" spans="1:17" x14ac:dyDescent="0.35">
      <c r="A75" t="str">
        <f>IF(Trades!$A73="","",Trades!$A73)</f>
        <v/>
      </c>
      <c r="B75" t="str">
        <f>IF(A75="","",Trades!$C73)</f>
        <v/>
      </c>
      <c r="C75" t="str">
        <f>IF(A75="","",UPPER(Trades!$D73))</f>
        <v/>
      </c>
      <c r="D75" t="str">
        <f>IF(A75="","",Trades!$E73)</f>
        <v/>
      </c>
      <c r="E75" s="13" t="str">
        <f>IF(A75="","",INDEX(Market!$J:$J,MATCH(D75,Market!$A:$A,0)))</f>
        <v/>
      </c>
      <c r="F75" s="13" t="str">
        <f>IF(A75="","",INDEX(Market!$K:$K,MATCH(D75,Market!$A:$A,0)))</f>
        <v/>
      </c>
      <c r="G75" s="13" t="str">
        <f>IF(A75="","",IF(AND(C75="OPTION",Trades!$T73&lt;&gt;""),Trades!$T73,INDEX(Market!$L:$L,MATCH(D75,Market!$A:$A,0))))</f>
        <v/>
      </c>
      <c r="H75" s="13" t="str">
        <f>IF(A75="","",IF(ISNUMBER(IF(C75="OPTION",Trades!$S73,Trades!$I73)),(IF(C75="OPTION",Trades!$S73,Trades!$I73)-Config!$B$2)/365,VALUE(LEFT(IF(C75="OPTION",Trades!$S73,Trades!$I73),LEN(IF(C75="OPTION",Trades!$S73,Trades!$I73))-1))*CHOOSE(MATCH(RIGHT(IF(C75="OPTION",Trades!$S73,Trades!$I73),1),{"D","W","M","Y"},0),1/365,7/365,1/12,1)))</f>
        <v/>
      </c>
      <c r="I75" s="13" t="str">
        <f>IF(A75="","",IFERROR(LOOKUP(2,1/((Curve!$G$2:$G$200=IF(IFERROR(INDEX(Market!$M:$M,MATCH(D75,Market!$A:$A,0))&amp;"","")="",IFERROR(VLOOKUP("reporting_ccy",Config!$A:$B,2,FALSE),""),INDEX(Market!$M:$M,MATCH(D75,Market!$A:$A,0))))*(Curve!$F$2:$F$200&lt;=H75)),Curve!$E$2:$E$200),IFERROR(INDEX(Curve!$E:$E,MATCH(IF(IFERROR(INDEX(Market!$M:$M,MATCH(D75,Market!$A:$A,0))&amp;"","")="",IFERROR(VLOOKUP("reporting_ccy",Config!$A:$B,2,FALSE),""),INDEX(Market!$M:$M,MATCH(D75,Market!$A:$A,0))),Curve!$G:$G,0)),Curve!$E$2)))</f>
        <v/>
      </c>
      <c r="J75" s="13" t="str">
        <f>IF(A75="","",IF(C75="OPTION",IF(ISNUMBER(Trades!$R73),Trades!$R73,IF(RIGHT(Trades!$R73,1)="%",VALUE(SUBSTITUTE(Trades!$R73,"%",""))/100*E75,VALUE(Trades!$R73))),IF(UPPER(Trades!$M73)="AVERAGE",Trades!$N73,E75)))</f>
        <v/>
      </c>
      <c r="K75" s="13" t="str">
        <f>IF(A75="","",IF(OR(UPPER(Trades!$F73)="BUY",UPPER(Trades!$F73)="RECEIVE_EQUITY"),1,-1))</f>
        <v/>
      </c>
      <c r="L75" s="13" t="str">
        <f>IF(A75="","",Trades!$G73)</f>
        <v/>
      </c>
      <c r="M75" s="13" t="str">
        <f>IF(A75="","",(LN(E75/J75)+(I75-F75+G75^2/2)*H75)/(G75*SQRT(H75)))</f>
        <v/>
      </c>
      <c r="N75" s="14" t="str">
        <f>IF(A75="","",IF(C75="OPTION",K75*L75*IF(LEFT(UPPER(Trades!$Q73),1)="C",(E75*EXP(-F75*H75)*_xlfn.NORM.S.DIST(M75,TRUE)-J75*EXP(-I75*H75)*_xlfn.NORM.S.DIST(M75-G75*SQRT(H75),TRUE)),(J75*EXP(-I75*H75)*_xlfn.NORM.S.DIST(-(M75-G75*SQRT(H75)),TRUE)-E75*EXP(-F75*H75)*_xlfn.NORM.S.DIST(-M75,TRUE))),K75*L75*(E75-J75)+IF(UPPER(Trades!$M73)="AVERAGE",0,N(Trades!$O73))-K75*L75*J75*N(Trades!$L73)*H75*365/360*EXP(-I75*H75/2)))</f>
        <v/>
      </c>
      <c r="O75" s="14" t="str">
        <f>IF(A75="","",SUMIFS(LegMTM!$F:$F,LegMTM!$B:$B,A75,LegMTM!$C:$C,B75))</f>
        <v/>
      </c>
      <c r="P75" s="14" t="str">
        <f>IF(A75="","",N75-O75)</f>
        <v/>
      </c>
      <c r="Q75" s="14" t="str">
        <f>IF(A75="","",IF($B$1&gt;=H75,0,IF(C75="OPTION",IF(K75&gt;0,N75*EXP(I75*$B$1),0),IF(OR(UPPER(Trades!$J73)="",UPPER(Trades!$J73)="NONE"),IF(K75&gt;0,L75*((E75*EXP((I75-F75)*$B$1))*_xlfn.NORM.S.DIST(((LN(E75/J75)-F75*$B$1+G75^2/2*$B$1)/(G75*SQRT($B$1))),TRUE)-(J75*EXP(I75*$B$1))*_xlfn.NORM.S.DIST(((LN(E75/J75)-F75*$B$1+G75^2/2*$B$1)/(G75*SQRT($B$1)))-G75*SQRT($B$1),TRUE)),L75*((J75*EXP(I75*$B$1))*_xlfn.NORM.S.DIST(-(((LN(E75/J75)-F75*$B$1+G75^2/2*$B$1)/(G75*SQRT($B$1)))-G75*SQRT($B$1)),TRUE)-(E75*EXP((I75-F75)*$B$1))*_xlfn.NORM.S.DIST(-((LN(E75/J75)-F75*$B$1+G75^2/2*$B$1)/(G75*SQRT($B$1))),TRUE))),"reset: see AnalyticCheck"))))</f>
        <v/>
      </c>
    </row>
    <row r="76" spans="1:17" x14ac:dyDescent="0.35">
      <c r="A76" t="str">
        <f>IF(Trades!$A74="","",Trades!$A74)</f>
        <v/>
      </c>
      <c r="B76" t="str">
        <f>IF(A76="","",Trades!$C74)</f>
        <v/>
      </c>
      <c r="C76" t="str">
        <f>IF(A76="","",UPPER(Trades!$D74))</f>
        <v/>
      </c>
      <c r="D76" t="str">
        <f>IF(A76="","",Trades!$E74)</f>
        <v/>
      </c>
      <c r="E76" s="13" t="str">
        <f>IF(A76="","",INDEX(Market!$J:$J,MATCH(D76,Market!$A:$A,0)))</f>
        <v/>
      </c>
      <c r="F76" s="13" t="str">
        <f>IF(A76="","",INDEX(Market!$K:$K,MATCH(D76,Market!$A:$A,0)))</f>
        <v/>
      </c>
      <c r="G76" s="13" t="str">
        <f>IF(A76="","",IF(AND(C76="OPTION",Trades!$T74&lt;&gt;""),Trades!$T74,INDEX(Market!$L:$L,MATCH(D76,Market!$A:$A,0))))</f>
        <v/>
      </c>
      <c r="H76" s="13" t="str">
        <f>IF(A76="","",IF(ISNUMBER(IF(C76="OPTION",Trades!$S74,Trades!$I74)),(IF(C76="OPTION",Trades!$S74,Trades!$I74)-Config!$B$2)/365,VALUE(LEFT(IF(C76="OPTION",Trades!$S74,Trades!$I74),LEN(IF(C76="OPTION",Trades!$S74,Trades!$I74))-1))*CHOOSE(MATCH(RIGHT(IF(C76="OPTION",Trades!$S74,Trades!$I74),1),{"D","W","M","Y"},0),1/365,7/365,1/12,1)))</f>
        <v/>
      </c>
      <c r="I76" s="13" t="str">
        <f>IF(A76="","",IFERROR(LOOKUP(2,1/((Curve!$G$2:$G$200=IF(IFERROR(INDEX(Market!$M:$M,MATCH(D76,Market!$A:$A,0))&amp;"","")="",IFERROR(VLOOKUP("reporting_ccy",Config!$A:$B,2,FALSE),""),INDEX(Market!$M:$M,MATCH(D76,Market!$A:$A,0))))*(Curve!$F$2:$F$200&lt;=H76)),Curve!$E$2:$E$200),IFERROR(INDEX(Curve!$E:$E,MATCH(IF(IFERROR(INDEX(Market!$M:$M,MATCH(D76,Market!$A:$A,0))&amp;"","")="",IFERROR(VLOOKUP("reporting_ccy",Config!$A:$B,2,FALSE),""),INDEX(Market!$M:$M,MATCH(D76,Market!$A:$A,0))),Curve!$G:$G,0)),Curve!$E$2)))</f>
        <v/>
      </c>
      <c r="J76" s="13" t="str">
        <f>IF(A76="","",IF(C76="OPTION",IF(ISNUMBER(Trades!$R74),Trades!$R74,IF(RIGHT(Trades!$R74,1)="%",VALUE(SUBSTITUTE(Trades!$R74,"%",""))/100*E76,VALUE(Trades!$R74))),IF(UPPER(Trades!$M74)="AVERAGE",Trades!$N74,E76)))</f>
        <v/>
      </c>
      <c r="K76" s="13" t="str">
        <f>IF(A76="","",IF(OR(UPPER(Trades!$F74)="BUY",UPPER(Trades!$F74)="RECEIVE_EQUITY"),1,-1))</f>
        <v/>
      </c>
      <c r="L76" s="13" t="str">
        <f>IF(A76="","",Trades!$G74)</f>
        <v/>
      </c>
      <c r="M76" s="13" t="str">
        <f>IF(A76="","",(LN(E76/J76)+(I76-F76+G76^2/2)*H76)/(G76*SQRT(H76)))</f>
        <v/>
      </c>
      <c r="N76" s="14" t="str">
        <f>IF(A76="","",IF(C76="OPTION",K76*L76*IF(LEFT(UPPER(Trades!$Q74),1)="C",(E76*EXP(-F76*H76)*_xlfn.NORM.S.DIST(M76,TRUE)-J76*EXP(-I76*H76)*_xlfn.NORM.S.DIST(M76-G76*SQRT(H76),TRUE)),(J76*EXP(-I76*H76)*_xlfn.NORM.S.DIST(-(M76-G76*SQRT(H76)),TRUE)-E76*EXP(-F76*H76)*_xlfn.NORM.S.DIST(-M76,TRUE))),K76*L76*(E76-J76)+IF(UPPER(Trades!$M74)="AVERAGE",0,N(Trades!$O74))-K76*L76*J76*N(Trades!$L74)*H76*365/360*EXP(-I76*H76/2)))</f>
        <v/>
      </c>
      <c r="O76" s="14" t="str">
        <f>IF(A76="","",SUMIFS(LegMTM!$F:$F,LegMTM!$B:$B,A76,LegMTM!$C:$C,B76))</f>
        <v/>
      </c>
      <c r="P76" s="14" t="str">
        <f>IF(A76="","",N76-O76)</f>
        <v/>
      </c>
      <c r="Q76" s="14" t="str">
        <f>IF(A76="","",IF($B$1&gt;=H76,0,IF(C76="OPTION",IF(K76&gt;0,N76*EXP(I76*$B$1),0),IF(OR(UPPER(Trades!$J74)="",UPPER(Trades!$J74)="NONE"),IF(K76&gt;0,L76*((E76*EXP((I76-F76)*$B$1))*_xlfn.NORM.S.DIST(((LN(E76/J76)-F76*$B$1+G76^2/2*$B$1)/(G76*SQRT($B$1))),TRUE)-(J76*EXP(I76*$B$1))*_xlfn.NORM.S.DIST(((LN(E76/J76)-F76*$B$1+G76^2/2*$B$1)/(G76*SQRT($B$1)))-G76*SQRT($B$1),TRUE)),L76*((J76*EXP(I76*$B$1))*_xlfn.NORM.S.DIST(-(((LN(E76/J76)-F76*$B$1+G76^2/2*$B$1)/(G76*SQRT($B$1)))-G76*SQRT($B$1)),TRUE)-(E76*EXP((I76-F76)*$B$1))*_xlfn.NORM.S.DIST(-((LN(E76/J76)-F76*$B$1+G76^2/2*$B$1)/(G76*SQRT($B$1))),TRUE))),"reset: see AnalyticCheck"))))</f>
        <v/>
      </c>
    </row>
    <row r="77" spans="1:17" x14ac:dyDescent="0.35">
      <c r="A77" t="str">
        <f>IF(Trades!$A75="","",Trades!$A75)</f>
        <v/>
      </c>
      <c r="B77" t="str">
        <f>IF(A77="","",Trades!$C75)</f>
        <v/>
      </c>
      <c r="C77" t="str">
        <f>IF(A77="","",UPPER(Trades!$D75))</f>
        <v/>
      </c>
      <c r="D77" t="str">
        <f>IF(A77="","",Trades!$E75)</f>
        <v/>
      </c>
      <c r="E77" s="13" t="str">
        <f>IF(A77="","",INDEX(Market!$J:$J,MATCH(D77,Market!$A:$A,0)))</f>
        <v/>
      </c>
      <c r="F77" s="13" t="str">
        <f>IF(A77="","",INDEX(Market!$K:$K,MATCH(D77,Market!$A:$A,0)))</f>
        <v/>
      </c>
      <c r="G77" s="13" t="str">
        <f>IF(A77="","",IF(AND(C77="OPTION",Trades!$T75&lt;&gt;""),Trades!$T75,INDEX(Market!$L:$L,MATCH(D77,Market!$A:$A,0))))</f>
        <v/>
      </c>
      <c r="H77" s="13" t="str">
        <f>IF(A77="","",IF(ISNUMBER(IF(C77="OPTION",Trades!$S75,Trades!$I75)),(IF(C77="OPTION",Trades!$S75,Trades!$I75)-Config!$B$2)/365,VALUE(LEFT(IF(C77="OPTION",Trades!$S75,Trades!$I75),LEN(IF(C77="OPTION",Trades!$S75,Trades!$I75))-1))*CHOOSE(MATCH(RIGHT(IF(C77="OPTION",Trades!$S75,Trades!$I75),1),{"D","W","M","Y"},0),1/365,7/365,1/12,1)))</f>
        <v/>
      </c>
      <c r="I77" s="13" t="str">
        <f>IF(A77="","",IFERROR(LOOKUP(2,1/((Curve!$G$2:$G$200=IF(IFERROR(INDEX(Market!$M:$M,MATCH(D77,Market!$A:$A,0))&amp;"","")="",IFERROR(VLOOKUP("reporting_ccy",Config!$A:$B,2,FALSE),""),INDEX(Market!$M:$M,MATCH(D77,Market!$A:$A,0))))*(Curve!$F$2:$F$200&lt;=H77)),Curve!$E$2:$E$200),IFERROR(INDEX(Curve!$E:$E,MATCH(IF(IFERROR(INDEX(Market!$M:$M,MATCH(D77,Market!$A:$A,0))&amp;"","")="",IFERROR(VLOOKUP("reporting_ccy",Config!$A:$B,2,FALSE),""),INDEX(Market!$M:$M,MATCH(D77,Market!$A:$A,0))),Curve!$G:$G,0)),Curve!$E$2)))</f>
        <v/>
      </c>
      <c r="J77" s="13" t="str">
        <f>IF(A77="","",IF(C77="OPTION",IF(ISNUMBER(Trades!$R75),Trades!$R75,IF(RIGHT(Trades!$R75,1)="%",VALUE(SUBSTITUTE(Trades!$R75,"%",""))/100*E77,VALUE(Trades!$R75))),IF(UPPER(Trades!$M75)="AVERAGE",Trades!$N75,E77)))</f>
        <v/>
      </c>
      <c r="K77" s="13" t="str">
        <f>IF(A77="","",IF(OR(UPPER(Trades!$F75)="BUY",UPPER(Trades!$F75)="RECEIVE_EQUITY"),1,-1))</f>
        <v/>
      </c>
      <c r="L77" s="13" t="str">
        <f>IF(A77="","",Trades!$G75)</f>
        <v/>
      </c>
      <c r="M77" s="13" t="str">
        <f>IF(A77="","",(LN(E77/J77)+(I77-F77+G77^2/2)*H77)/(G77*SQRT(H77)))</f>
        <v/>
      </c>
      <c r="N77" s="14" t="str">
        <f>IF(A77="","",IF(C77="OPTION",K77*L77*IF(LEFT(UPPER(Trades!$Q75),1)="C",(E77*EXP(-F77*H77)*_xlfn.NORM.S.DIST(M77,TRUE)-J77*EXP(-I77*H77)*_xlfn.NORM.S.DIST(M77-G77*SQRT(H77),TRUE)),(J77*EXP(-I77*H77)*_xlfn.NORM.S.DIST(-(M77-G77*SQRT(H77)),TRUE)-E77*EXP(-F77*H77)*_xlfn.NORM.S.DIST(-M77,TRUE))),K77*L77*(E77-J77)+IF(UPPER(Trades!$M75)="AVERAGE",0,N(Trades!$O75))-K77*L77*J77*N(Trades!$L75)*H77*365/360*EXP(-I77*H77/2)))</f>
        <v/>
      </c>
      <c r="O77" s="14" t="str">
        <f>IF(A77="","",SUMIFS(LegMTM!$F:$F,LegMTM!$B:$B,A77,LegMTM!$C:$C,B77))</f>
        <v/>
      </c>
      <c r="P77" s="14" t="str">
        <f>IF(A77="","",N77-O77)</f>
        <v/>
      </c>
      <c r="Q77" s="14" t="str">
        <f>IF(A77="","",IF($B$1&gt;=H77,0,IF(C77="OPTION",IF(K77&gt;0,N77*EXP(I77*$B$1),0),IF(OR(UPPER(Trades!$J75)="",UPPER(Trades!$J75)="NONE"),IF(K77&gt;0,L77*((E77*EXP((I77-F77)*$B$1))*_xlfn.NORM.S.DIST(((LN(E77/J77)-F77*$B$1+G77^2/2*$B$1)/(G77*SQRT($B$1))),TRUE)-(J77*EXP(I77*$B$1))*_xlfn.NORM.S.DIST(((LN(E77/J77)-F77*$B$1+G77^2/2*$B$1)/(G77*SQRT($B$1)))-G77*SQRT($B$1),TRUE)),L77*((J77*EXP(I77*$B$1))*_xlfn.NORM.S.DIST(-(((LN(E77/J77)-F77*$B$1+G77^2/2*$B$1)/(G77*SQRT($B$1)))-G77*SQRT($B$1)),TRUE)-(E77*EXP((I77-F77)*$B$1))*_xlfn.NORM.S.DIST(-((LN(E77/J77)-F77*$B$1+G77^2/2*$B$1)/(G77*SQRT($B$1))),TRUE))),"reset: see AnalyticCheck"))))</f>
        <v/>
      </c>
    </row>
    <row r="78" spans="1:17" x14ac:dyDescent="0.35">
      <c r="A78" t="str">
        <f>IF(Trades!$A76="","",Trades!$A76)</f>
        <v/>
      </c>
      <c r="B78" t="str">
        <f>IF(A78="","",Trades!$C76)</f>
        <v/>
      </c>
      <c r="C78" t="str">
        <f>IF(A78="","",UPPER(Trades!$D76))</f>
        <v/>
      </c>
      <c r="D78" t="str">
        <f>IF(A78="","",Trades!$E76)</f>
        <v/>
      </c>
      <c r="E78" s="13" t="str">
        <f>IF(A78="","",INDEX(Market!$J:$J,MATCH(D78,Market!$A:$A,0)))</f>
        <v/>
      </c>
      <c r="F78" s="13" t="str">
        <f>IF(A78="","",INDEX(Market!$K:$K,MATCH(D78,Market!$A:$A,0)))</f>
        <v/>
      </c>
      <c r="G78" s="13" t="str">
        <f>IF(A78="","",IF(AND(C78="OPTION",Trades!$T76&lt;&gt;""),Trades!$T76,INDEX(Market!$L:$L,MATCH(D78,Market!$A:$A,0))))</f>
        <v/>
      </c>
      <c r="H78" s="13" t="str">
        <f>IF(A78="","",IF(ISNUMBER(IF(C78="OPTION",Trades!$S76,Trades!$I76)),(IF(C78="OPTION",Trades!$S76,Trades!$I76)-Config!$B$2)/365,VALUE(LEFT(IF(C78="OPTION",Trades!$S76,Trades!$I76),LEN(IF(C78="OPTION",Trades!$S76,Trades!$I76))-1))*CHOOSE(MATCH(RIGHT(IF(C78="OPTION",Trades!$S76,Trades!$I76),1),{"D","W","M","Y"},0),1/365,7/365,1/12,1)))</f>
        <v/>
      </c>
      <c r="I78" s="13" t="str">
        <f>IF(A78="","",IFERROR(LOOKUP(2,1/((Curve!$G$2:$G$200=IF(IFERROR(INDEX(Market!$M:$M,MATCH(D78,Market!$A:$A,0))&amp;"","")="",IFERROR(VLOOKUP("reporting_ccy",Config!$A:$B,2,FALSE),""),INDEX(Market!$M:$M,MATCH(D78,Market!$A:$A,0))))*(Curve!$F$2:$F$200&lt;=H78)),Curve!$E$2:$E$200),IFERROR(INDEX(Curve!$E:$E,MATCH(IF(IFERROR(INDEX(Market!$M:$M,MATCH(D78,Market!$A:$A,0))&amp;"","")="",IFERROR(VLOOKUP("reporting_ccy",Config!$A:$B,2,FALSE),""),INDEX(Market!$M:$M,MATCH(D78,Market!$A:$A,0))),Curve!$G:$G,0)),Curve!$E$2)))</f>
        <v/>
      </c>
      <c r="J78" s="13" t="str">
        <f>IF(A78="","",IF(C78="OPTION",IF(ISNUMBER(Trades!$R76),Trades!$R76,IF(RIGHT(Trades!$R76,1)="%",VALUE(SUBSTITUTE(Trades!$R76,"%",""))/100*E78,VALUE(Trades!$R76))),IF(UPPER(Trades!$M76)="AVERAGE",Trades!$N76,E78)))</f>
        <v/>
      </c>
      <c r="K78" s="13" t="str">
        <f>IF(A78="","",IF(OR(UPPER(Trades!$F76)="BUY",UPPER(Trades!$F76)="RECEIVE_EQUITY"),1,-1))</f>
        <v/>
      </c>
      <c r="L78" s="13" t="str">
        <f>IF(A78="","",Trades!$G76)</f>
        <v/>
      </c>
      <c r="M78" s="13" t="str">
        <f>IF(A78="","",(LN(E78/J78)+(I78-F78+G78^2/2)*H78)/(G78*SQRT(H78)))</f>
        <v/>
      </c>
      <c r="N78" s="14" t="str">
        <f>IF(A78="","",IF(C78="OPTION",K78*L78*IF(LEFT(UPPER(Trades!$Q76),1)="C",(E78*EXP(-F78*H78)*_xlfn.NORM.S.DIST(M78,TRUE)-J78*EXP(-I78*H78)*_xlfn.NORM.S.DIST(M78-G78*SQRT(H78),TRUE)),(J78*EXP(-I78*H78)*_xlfn.NORM.S.DIST(-(M78-G78*SQRT(H78)),TRUE)-E78*EXP(-F78*H78)*_xlfn.NORM.S.DIST(-M78,TRUE))),K78*L78*(E78-J78)+IF(UPPER(Trades!$M76)="AVERAGE",0,N(Trades!$O76))-K78*L78*J78*N(Trades!$L76)*H78*365/360*EXP(-I78*H78/2)))</f>
        <v/>
      </c>
      <c r="O78" s="14" t="str">
        <f>IF(A78="","",SUMIFS(LegMTM!$F:$F,LegMTM!$B:$B,A78,LegMTM!$C:$C,B78))</f>
        <v/>
      </c>
      <c r="P78" s="14" t="str">
        <f>IF(A78="","",N78-O78)</f>
        <v/>
      </c>
      <c r="Q78" s="14" t="str">
        <f>IF(A78="","",IF($B$1&gt;=H78,0,IF(C78="OPTION",IF(K78&gt;0,N78*EXP(I78*$B$1),0),IF(OR(UPPER(Trades!$J76)="",UPPER(Trades!$J76)="NONE"),IF(K78&gt;0,L78*((E78*EXP((I78-F78)*$B$1))*_xlfn.NORM.S.DIST(((LN(E78/J78)-F78*$B$1+G78^2/2*$B$1)/(G78*SQRT($B$1))),TRUE)-(J78*EXP(I78*$B$1))*_xlfn.NORM.S.DIST(((LN(E78/J78)-F78*$B$1+G78^2/2*$B$1)/(G78*SQRT($B$1)))-G78*SQRT($B$1),TRUE)),L78*((J78*EXP(I78*$B$1))*_xlfn.NORM.S.DIST(-(((LN(E78/J78)-F78*$B$1+G78^2/2*$B$1)/(G78*SQRT($B$1)))-G78*SQRT($B$1)),TRUE)-(E78*EXP((I78-F78)*$B$1))*_xlfn.NORM.S.DIST(-((LN(E78/J78)-F78*$B$1+G78^2/2*$B$1)/(G78*SQRT($B$1))),TRUE))),"reset: see AnalyticCheck"))))</f>
        <v/>
      </c>
    </row>
    <row r="79" spans="1:17" x14ac:dyDescent="0.35">
      <c r="A79" t="str">
        <f>IF(Trades!$A77="","",Trades!$A77)</f>
        <v/>
      </c>
      <c r="B79" t="str">
        <f>IF(A79="","",Trades!$C77)</f>
        <v/>
      </c>
      <c r="C79" t="str">
        <f>IF(A79="","",UPPER(Trades!$D77))</f>
        <v/>
      </c>
      <c r="D79" t="str">
        <f>IF(A79="","",Trades!$E77)</f>
        <v/>
      </c>
      <c r="E79" s="13" t="str">
        <f>IF(A79="","",INDEX(Market!$J:$J,MATCH(D79,Market!$A:$A,0)))</f>
        <v/>
      </c>
      <c r="F79" s="13" t="str">
        <f>IF(A79="","",INDEX(Market!$K:$K,MATCH(D79,Market!$A:$A,0)))</f>
        <v/>
      </c>
      <c r="G79" s="13" t="str">
        <f>IF(A79="","",IF(AND(C79="OPTION",Trades!$T77&lt;&gt;""),Trades!$T77,INDEX(Market!$L:$L,MATCH(D79,Market!$A:$A,0))))</f>
        <v/>
      </c>
      <c r="H79" s="13" t="str">
        <f>IF(A79="","",IF(ISNUMBER(IF(C79="OPTION",Trades!$S77,Trades!$I77)),(IF(C79="OPTION",Trades!$S77,Trades!$I77)-Config!$B$2)/365,VALUE(LEFT(IF(C79="OPTION",Trades!$S77,Trades!$I77),LEN(IF(C79="OPTION",Trades!$S77,Trades!$I77))-1))*CHOOSE(MATCH(RIGHT(IF(C79="OPTION",Trades!$S77,Trades!$I77),1),{"D","W","M","Y"},0),1/365,7/365,1/12,1)))</f>
        <v/>
      </c>
      <c r="I79" s="13" t="str">
        <f>IF(A79="","",IFERROR(LOOKUP(2,1/((Curve!$G$2:$G$200=IF(IFERROR(INDEX(Market!$M:$M,MATCH(D79,Market!$A:$A,0))&amp;"","")="",IFERROR(VLOOKUP("reporting_ccy",Config!$A:$B,2,FALSE),""),INDEX(Market!$M:$M,MATCH(D79,Market!$A:$A,0))))*(Curve!$F$2:$F$200&lt;=H79)),Curve!$E$2:$E$200),IFERROR(INDEX(Curve!$E:$E,MATCH(IF(IFERROR(INDEX(Market!$M:$M,MATCH(D79,Market!$A:$A,0))&amp;"","")="",IFERROR(VLOOKUP("reporting_ccy",Config!$A:$B,2,FALSE),""),INDEX(Market!$M:$M,MATCH(D79,Market!$A:$A,0))),Curve!$G:$G,0)),Curve!$E$2)))</f>
        <v/>
      </c>
      <c r="J79" s="13" t="str">
        <f>IF(A79="","",IF(C79="OPTION",IF(ISNUMBER(Trades!$R77),Trades!$R77,IF(RIGHT(Trades!$R77,1)="%",VALUE(SUBSTITUTE(Trades!$R77,"%",""))/100*E79,VALUE(Trades!$R77))),IF(UPPER(Trades!$M77)="AVERAGE",Trades!$N77,E79)))</f>
        <v/>
      </c>
      <c r="K79" s="13" t="str">
        <f>IF(A79="","",IF(OR(UPPER(Trades!$F77)="BUY",UPPER(Trades!$F77)="RECEIVE_EQUITY"),1,-1))</f>
        <v/>
      </c>
      <c r="L79" s="13" t="str">
        <f>IF(A79="","",Trades!$G77)</f>
        <v/>
      </c>
      <c r="M79" s="13" t="str">
        <f>IF(A79="","",(LN(E79/J79)+(I79-F79+G79^2/2)*H79)/(G79*SQRT(H79)))</f>
        <v/>
      </c>
      <c r="N79" s="14" t="str">
        <f>IF(A79="","",IF(C79="OPTION",K79*L79*IF(LEFT(UPPER(Trades!$Q77),1)="C",(E79*EXP(-F79*H79)*_xlfn.NORM.S.DIST(M79,TRUE)-J79*EXP(-I79*H79)*_xlfn.NORM.S.DIST(M79-G79*SQRT(H79),TRUE)),(J79*EXP(-I79*H79)*_xlfn.NORM.S.DIST(-(M79-G79*SQRT(H79)),TRUE)-E79*EXP(-F79*H79)*_xlfn.NORM.S.DIST(-M79,TRUE))),K79*L79*(E79-J79)+IF(UPPER(Trades!$M77)="AVERAGE",0,N(Trades!$O77))-K79*L79*J79*N(Trades!$L77)*H79*365/360*EXP(-I79*H79/2)))</f>
        <v/>
      </c>
      <c r="O79" s="14" t="str">
        <f>IF(A79="","",SUMIFS(LegMTM!$F:$F,LegMTM!$B:$B,A79,LegMTM!$C:$C,B79))</f>
        <v/>
      </c>
      <c r="P79" s="14" t="str">
        <f>IF(A79="","",N79-O79)</f>
        <v/>
      </c>
      <c r="Q79" s="14" t="str">
        <f>IF(A79="","",IF($B$1&gt;=H79,0,IF(C79="OPTION",IF(K79&gt;0,N79*EXP(I79*$B$1),0),IF(OR(UPPER(Trades!$J77)="",UPPER(Trades!$J77)="NONE"),IF(K79&gt;0,L79*((E79*EXP((I79-F79)*$B$1))*_xlfn.NORM.S.DIST(((LN(E79/J79)-F79*$B$1+G79^2/2*$B$1)/(G79*SQRT($B$1))),TRUE)-(J79*EXP(I79*$B$1))*_xlfn.NORM.S.DIST(((LN(E79/J79)-F79*$B$1+G79^2/2*$B$1)/(G79*SQRT($B$1)))-G79*SQRT($B$1),TRUE)),L79*((J79*EXP(I79*$B$1))*_xlfn.NORM.S.DIST(-(((LN(E79/J79)-F79*$B$1+G79^2/2*$B$1)/(G79*SQRT($B$1)))-G79*SQRT($B$1)),TRUE)-(E79*EXP((I79-F79)*$B$1))*_xlfn.NORM.S.DIST(-((LN(E79/J79)-F79*$B$1+G79^2/2*$B$1)/(G79*SQRT($B$1))),TRUE))),"reset: see AnalyticCheck"))))</f>
        <v/>
      </c>
    </row>
    <row r="80" spans="1:17" x14ac:dyDescent="0.35">
      <c r="A80" t="str">
        <f>IF(Trades!$A78="","",Trades!$A78)</f>
        <v/>
      </c>
      <c r="B80" t="str">
        <f>IF(A80="","",Trades!$C78)</f>
        <v/>
      </c>
      <c r="C80" t="str">
        <f>IF(A80="","",UPPER(Trades!$D78))</f>
        <v/>
      </c>
      <c r="D80" t="str">
        <f>IF(A80="","",Trades!$E78)</f>
        <v/>
      </c>
      <c r="E80" s="13" t="str">
        <f>IF(A80="","",INDEX(Market!$J:$J,MATCH(D80,Market!$A:$A,0)))</f>
        <v/>
      </c>
      <c r="F80" s="13" t="str">
        <f>IF(A80="","",INDEX(Market!$K:$K,MATCH(D80,Market!$A:$A,0)))</f>
        <v/>
      </c>
      <c r="G80" s="13" t="str">
        <f>IF(A80="","",IF(AND(C80="OPTION",Trades!$T78&lt;&gt;""),Trades!$T78,INDEX(Market!$L:$L,MATCH(D80,Market!$A:$A,0))))</f>
        <v/>
      </c>
      <c r="H80" s="13" t="str">
        <f>IF(A80="","",IF(ISNUMBER(IF(C80="OPTION",Trades!$S78,Trades!$I78)),(IF(C80="OPTION",Trades!$S78,Trades!$I78)-Config!$B$2)/365,VALUE(LEFT(IF(C80="OPTION",Trades!$S78,Trades!$I78),LEN(IF(C80="OPTION",Trades!$S78,Trades!$I78))-1))*CHOOSE(MATCH(RIGHT(IF(C80="OPTION",Trades!$S78,Trades!$I78),1),{"D","W","M","Y"},0),1/365,7/365,1/12,1)))</f>
        <v/>
      </c>
      <c r="I80" s="13" t="str">
        <f>IF(A80="","",IFERROR(LOOKUP(2,1/((Curve!$G$2:$G$200=IF(IFERROR(INDEX(Market!$M:$M,MATCH(D80,Market!$A:$A,0))&amp;"","")="",IFERROR(VLOOKUP("reporting_ccy",Config!$A:$B,2,FALSE),""),INDEX(Market!$M:$M,MATCH(D80,Market!$A:$A,0))))*(Curve!$F$2:$F$200&lt;=H80)),Curve!$E$2:$E$200),IFERROR(INDEX(Curve!$E:$E,MATCH(IF(IFERROR(INDEX(Market!$M:$M,MATCH(D80,Market!$A:$A,0))&amp;"","")="",IFERROR(VLOOKUP("reporting_ccy",Config!$A:$B,2,FALSE),""),INDEX(Market!$M:$M,MATCH(D80,Market!$A:$A,0))),Curve!$G:$G,0)),Curve!$E$2)))</f>
        <v/>
      </c>
      <c r="J80" s="13" t="str">
        <f>IF(A80="","",IF(C80="OPTION",IF(ISNUMBER(Trades!$R78),Trades!$R78,IF(RIGHT(Trades!$R78,1)="%",VALUE(SUBSTITUTE(Trades!$R78,"%",""))/100*E80,VALUE(Trades!$R78))),IF(UPPER(Trades!$M78)="AVERAGE",Trades!$N78,E80)))</f>
        <v/>
      </c>
      <c r="K80" s="13" t="str">
        <f>IF(A80="","",IF(OR(UPPER(Trades!$F78)="BUY",UPPER(Trades!$F78)="RECEIVE_EQUITY"),1,-1))</f>
        <v/>
      </c>
      <c r="L80" s="13" t="str">
        <f>IF(A80="","",Trades!$G78)</f>
        <v/>
      </c>
      <c r="M80" s="13" t="str">
        <f>IF(A80="","",(LN(E80/J80)+(I80-F80+G80^2/2)*H80)/(G80*SQRT(H80)))</f>
        <v/>
      </c>
      <c r="N80" s="14" t="str">
        <f>IF(A80="","",IF(C80="OPTION",K80*L80*IF(LEFT(UPPER(Trades!$Q78),1)="C",(E80*EXP(-F80*H80)*_xlfn.NORM.S.DIST(M80,TRUE)-J80*EXP(-I80*H80)*_xlfn.NORM.S.DIST(M80-G80*SQRT(H80),TRUE)),(J80*EXP(-I80*H80)*_xlfn.NORM.S.DIST(-(M80-G80*SQRT(H80)),TRUE)-E80*EXP(-F80*H80)*_xlfn.NORM.S.DIST(-M80,TRUE))),K80*L80*(E80-J80)+IF(UPPER(Trades!$M78)="AVERAGE",0,N(Trades!$O78))-K80*L80*J80*N(Trades!$L78)*H80*365/360*EXP(-I80*H80/2)))</f>
        <v/>
      </c>
      <c r="O80" s="14" t="str">
        <f>IF(A80="","",SUMIFS(LegMTM!$F:$F,LegMTM!$B:$B,A80,LegMTM!$C:$C,B80))</f>
        <v/>
      </c>
      <c r="P80" s="14" t="str">
        <f>IF(A80="","",N80-O80)</f>
        <v/>
      </c>
      <c r="Q80" s="14" t="str">
        <f>IF(A80="","",IF($B$1&gt;=H80,0,IF(C80="OPTION",IF(K80&gt;0,N80*EXP(I80*$B$1),0),IF(OR(UPPER(Trades!$J78)="",UPPER(Trades!$J78)="NONE"),IF(K80&gt;0,L80*((E80*EXP((I80-F80)*$B$1))*_xlfn.NORM.S.DIST(((LN(E80/J80)-F80*$B$1+G80^2/2*$B$1)/(G80*SQRT($B$1))),TRUE)-(J80*EXP(I80*$B$1))*_xlfn.NORM.S.DIST(((LN(E80/J80)-F80*$B$1+G80^2/2*$B$1)/(G80*SQRT($B$1)))-G80*SQRT($B$1),TRUE)),L80*((J80*EXP(I80*$B$1))*_xlfn.NORM.S.DIST(-(((LN(E80/J80)-F80*$B$1+G80^2/2*$B$1)/(G80*SQRT($B$1)))-G80*SQRT($B$1)),TRUE)-(E80*EXP((I80-F80)*$B$1))*_xlfn.NORM.S.DIST(-((LN(E80/J80)-F80*$B$1+G80^2/2*$B$1)/(G80*SQRT($B$1))),TRUE))),"reset: see AnalyticCheck"))))</f>
        <v/>
      </c>
    </row>
    <row r="81" spans="1:17" x14ac:dyDescent="0.35">
      <c r="A81" t="str">
        <f>IF(Trades!$A79="","",Trades!$A79)</f>
        <v/>
      </c>
      <c r="B81" t="str">
        <f>IF(A81="","",Trades!$C79)</f>
        <v/>
      </c>
      <c r="C81" t="str">
        <f>IF(A81="","",UPPER(Trades!$D79))</f>
        <v/>
      </c>
      <c r="D81" t="str">
        <f>IF(A81="","",Trades!$E79)</f>
        <v/>
      </c>
      <c r="E81" s="13" t="str">
        <f>IF(A81="","",INDEX(Market!$J:$J,MATCH(D81,Market!$A:$A,0)))</f>
        <v/>
      </c>
      <c r="F81" s="13" t="str">
        <f>IF(A81="","",INDEX(Market!$K:$K,MATCH(D81,Market!$A:$A,0)))</f>
        <v/>
      </c>
      <c r="G81" s="13" t="str">
        <f>IF(A81="","",IF(AND(C81="OPTION",Trades!$T79&lt;&gt;""),Trades!$T79,INDEX(Market!$L:$L,MATCH(D81,Market!$A:$A,0))))</f>
        <v/>
      </c>
      <c r="H81" s="13" t="str">
        <f>IF(A81="","",IF(ISNUMBER(IF(C81="OPTION",Trades!$S79,Trades!$I79)),(IF(C81="OPTION",Trades!$S79,Trades!$I79)-Config!$B$2)/365,VALUE(LEFT(IF(C81="OPTION",Trades!$S79,Trades!$I79),LEN(IF(C81="OPTION",Trades!$S79,Trades!$I79))-1))*CHOOSE(MATCH(RIGHT(IF(C81="OPTION",Trades!$S79,Trades!$I79),1),{"D","W","M","Y"},0),1/365,7/365,1/12,1)))</f>
        <v/>
      </c>
      <c r="I81" s="13" t="str">
        <f>IF(A81="","",IFERROR(LOOKUP(2,1/((Curve!$G$2:$G$200=IF(IFERROR(INDEX(Market!$M:$M,MATCH(D81,Market!$A:$A,0))&amp;"","")="",IFERROR(VLOOKUP("reporting_ccy",Config!$A:$B,2,FALSE),""),INDEX(Market!$M:$M,MATCH(D81,Market!$A:$A,0))))*(Curve!$F$2:$F$200&lt;=H81)),Curve!$E$2:$E$200),IFERROR(INDEX(Curve!$E:$E,MATCH(IF(IFERROR(INDEX(Market!$M:$M,MATCH(D81,Market!$A:$A,0))&amp;"","")="",IFERROR(VLOOKUP("reporting_ccy",Config!$A:$B,2,FALSE),""),INDEX(Market!$M:$M,MATCH(D81,Market!$A:$A,0))),Curve!$G:$G,0)),Curve!$E$2)))</f>
        <v/>
      </c>
      <c r="J81" s="13" t="str">
        <f>IF(A81="","",IF(C81="OPTION",IF(ISNUMBER(Trades!$R79),Trades!$R79,IF(RIGHT(Trades!$R79,1)="%",VALUE(SUBSTITUTE(Trades!$R79,"%",""))/100*E81,VALUE(Trades!$R79))),IF(UPPER(Trades!$M79)="AVERAGE",Trades!$N79,E81)))</f>
        <v/>
      </c>
      <c r="K81" s="13" t="str">
        <f>IF(A81="","",IF(OR(UPPER(Trades!$F79)="BUY",UPPER(Trades!$F79)="RECEIVE_EQUITY"),1,-1))</f>
        <v/>
      </c>
      <c r="L81" s="13" t="str">
        <f>IF(A81="","",Trades!$G79)</f>
        <v/>
      </c>
      <c r="M81" s="13" t="str">
        <f>IF(A81="","",(LN(E81/J81)+(I81-F81+G81^2/2)*H81)/(G81*SQRT(H81)))</f>
        <v/>
      </c>
      <c r="N81" s="14" t="str">
        <f>IF(A81="","",IF(C81="OPTION",K81*L81*IF(LEFT(UPPER(Trades!$Q79),1)="C",(E81*EXP(-F81*H81)*_xlfn.NORM.S.DIST(M81,TRUE)-J81*EXP(-I81*H81)*_xlfn.NORM.S.DIST(M81-G81*SQRT(H81),TRUE)),(J81*EXP(-I81*H81)*_xlfn.NORM.S.DIST(-(M81-G81*SQRT(H81)),TRUE)-E81*EXP(-F81*H81)*_xlfn.NORM.S.DIST(-M81,TRUE))),K81*L81*(E81-J81)+IF(UPPER(Trades!$M79)="AVERAGE",0,N(Trades!$O79))-K81*L81*J81*N(Trades!$L79)*H81*365/360*EXP(-I81*H81/2)))</f>
        <v/>
      </c>
      <c r="O81" s="14" t="str">
        <f>IF(A81="","",SUMIFS(LegMTM!$F:$F,LegMTM!$B:$B,A81,LegMTM!$C:$C,B81))</f>
        <v/>
      </c>
      <c r="P81" s="14" t="str">
        <f>IF(A81="","",N81-O81)</f>
        <v/>
      </c>
      <c r="Q81" s="14" t="str">
        <f>IF(A81="","",IF($B$1&gt;=H81,0,IF(C81="OPTION",IF(K81&gt;0,N81*EXP(I81*$B$1),0),IF(OR(UPPER(Trades!$J79)="",UPPER(Trades!$J79)="NONE"),IF(K81&gt;0,L81*((E81*EXP((I81-F81)*$B$1))*_xlfn.NORM.S.DIST(((LN(E81/J81)-F81*$B$1+G81^2/2*$B$1)/(G81*SQRT($B$1))),TRUE)-(J81*EXP(I81*$B$1))*_xlfn.NORM.S.DIST(((LN(E81/J81)-F81*$B$1+G81^2/2*$B$1)/(G81*SQRT($B$1)))-G81*SQRT($B$1),TRUE)),L81*((J81*EXP(I81*$B$1))*_xlfn.NORM.S.DIST(-(((LN(E81/J81)-F81*$B$1+G81^2/2*$B$1)/(G81*SQRT($B$1)))-G81*SQRT($B$1)),TRUE)-(E81*EXP((I81-F81)*$B$1))*_xlfn.NORM.S.DIST(-((LN(E81/J81)-F81*$B$1+G81^2/2*$B$1)/(G81*SQRT($B$1))),TRUE))),"reset: see AnalyticCheck"))))</f>
        <v/>
      </c>
    </row>
    <row r="82" spans="1:17" x14ac:dyDescent="0.35">
      <c r="A82" t="str">
        <f>IF(Trades!$A80="","",Trades!$A80)</f>
        <v/>
      </c>
      <c r="B82" t="str">
        <f>IF(A82="","",Trades!$C80)</f>
        <v/>
      </c>
      <c r="C82" t="str">
        <f>IF(A82="","",UPPER(Trades!$D80))</f>
        <v/>
      </c>
      <c r="D82" t="str">
        <f>IF(A82="","",Trades!$E80)</f>
        <v/>
      </c>
      <c r="E82" s="13" t="str">
        <f>IF(A82="","",INDEX(Market!$J:$J,MATCH(D82,Market!$A:$A,0)))</f>
        <v/>
      </c>
      <c r="F82" s="13" t="str">
        <f>IF(A82="","",INDEX(Market!$K:$K,MATCH(D82,Market!$A:$A,0)))</f>
        <v/>
      </c>
      <c r="G82" s="13" t="str">
        <f>IF(A82="","",IF(AND(C82="OPTION",Trades!$T80&lt;&gt;""),Trades!$T80,INDEX(Market!$L:$L,MATCH(D82,Market!$A:$A,0))))</f>
        <v/>
      </c>
      <c r="H82" s="13" t="str">
        <f>IF(A82="","",IF(ISNUMBER(IF(C82="OPTION",Trades!$S80,Trades!$I80)),(IF(C82="OPTION",Trades!$S80,Trades!$I80)-Config!$B$2)/365,VALUE(LEFT(IF(C82="OPTION",Trades!$S80,Trades!$I80),LEN(IF(C82="OPTION",Trades!$S80,Trades!$I80))-1))*CHOOSE(MATCH(RIGHT(IF(C82="OPTION",Trades!$S80,Trades!$I80),1),{"D","W","M","Y"},0),1/365,7/365,1/12,1)))</f>
        <v/>
      </c>
      <c r="I82" s="13" t="str">
        <f>IF(A82="","",IFERROR(LOOKUP(2,1/((Curve!$G$2:$G$200=IF(IFERROR(INDEX(Market!$M:$M,MATCH(D82,Market!$A:$A,0))&amp;"","")="",IFERROR(VLOOKUP("reporting_ccy",Config!$A:$B,2,FALSE),""),INDEX(Market!$M:$M,MATCH(D82,Market!$A:$A,0))))*(Curve!$F$2:$F$200&lt;=H82)),Curve!$E$2:$E$200),IFERROR(INDEX(Curve!$E:$E,MATCH(IF(IFERROR(INDEX(Market!$M:$M,MATCH(D82,Market!$A:$A,0))&amp;"","")="",IFERROR(VLOOKUP("reporting_ccy",Config!$A:$B,2,FALSE),""),INDEX(Market!$M:$M,MATCH(D82,Market!$A:$A,0))),Curve!$G:$G,0)),Curve!$E$2)))</f>
        <v/>
      </c>
      <c r="J82" s="13" t="str">
        <f>IF(A82="","",IF(C82="OPTION",IF(ISNUMBER(Trades!$R80),Trades!$R80,IF(RIGHT(Trades!$R80,1)="%",VALUE(SUBSTITUTE(Trades!$R80,"%",""))/100*E82,VALUE(Trades!$R80))),IF(UPPER(Trades!$M80)="AVERAGE",Trades!$N80,E82)))</f>
        <v/>
      </c>
      <c r="K82" s="13" t="str">
        <f>IF(A82="","",IF(OR(UPPER(Trades!$F80)="BUY",UPPER(Trades!$F80)="RECEIVE_EQUITY"),1,-1))</f>
        <v/>
      </c>
      <c r="L82" s="13" t="str">
        <f>IF(A82="","",Trades!$G80)</f>
        <v/>
      </c>
      <c r="M82" s="13" t="str">
        <f>IF(A82="","",(LN(E82/J82)+(I82-F82+G82^2/2)*H82)/(G82*SQRT(H82)))</f>
        <v/>
      </c>
      <c r="N82" s="14" t="str">
        <f>IF(A82="","",IF(C82="OPTION",K82*L82*IF(LEFT(UPPER(Trades!$Q80),1)="C",(E82*EXP(-F82*H82)*_xlfn.NORM.S.DIST(M82,TRUE)-J82*EXP(-I82*H82)*_xlfn.NORM.S.DIST(M82-G82*SQRT(H82),TRUE)),(J82*EXP(-I82*H82)*_xlfn.NORM.S.DIST(-(M82-G82*SQRT(H82)),TRUE)-E82*EXP(-F82*H82)*_xlfn.NORM.S.DIST(-M82,TRUE))),K82*L82*(E82-J82)+IF(UPPER(Trades!$M80)="AVERAGE",0,N(Trades!$O80))-K82*L82*J82*N(Trades!$L80)*H82*365/360*EXP(-I82*H82/2)))</f>
        <v/>
      </c>
      <c r="O82" s="14" t="str">
        <f>IF(A82="","",SUMIFS(LegMTM!$F:$F,LegMTM!$B:$B,A82,LegMTM!$C:$C,B82))</f>
        <v/>
      </c>
      <c r="P82" s="14" t="str">
        <f>IF(A82="","",N82-O82)</f>
        <v/>
      </c>
      <c r="Q82" s="14" t="str">
        <f>IF(A82="","",IF($B$1&gt;=H82,0,IF(C82="OPTION",IF(K82&gt;0,N82*EXP(I82*$B$1),0),IF(OR(UPPER(Trades!$J80)="",UPPER(Trades!$J80)="NONE"),IF(K82&gt;0,L82*((E82*EXP((I82-F82)*$B$1))*_xlfn.NORM.S.DIST(((LN(E82/J82)-F82*$B$1+G82^2/2*$B$1)/(G82*SQRT($B$1))),TRUE)-(J82*EXP(I82*$B$1))*_xlfn.NORM.S.DIST(((LN(E82/J82)-F82*$B$1+G82^2/2*$B$1)/(G82*SQRT($B$1)))-G82*SQRT($B$1),TRUE)),L82*((J82*EXP(I82*$B$1))*_xlfn.NORM.S.DIST(-(((LN(E82/J82)-F82*$B$1+G82^2/2*$B$1)/(G82*SQRT($B$1)))-G82*SQRT($B$1)),TRUE)-(E82*EXP((I82-F82)*$B$1))*_xlfn.NORM.S.DIST(-((LN(E82/J82)-F82*$B$1+G82^2/2*$B$1)/(G82*SQRT($B$1))),TRUE))),"reset: see AnalyticCheck"))))</f>
        <v/>
      </c>
    </row>
    <row r="83" spans="1:17" x14ac:dyDescent="0.35">
      <c r="A83" t="str">
        <f>IF(Trades!$A81="","",Trades!$A81)</f>
        <v/>
      </c>
      <c r="B83" t="str">
        <f>IF(A83="","",Trades!$C81)</f>
        <v/>
      </c>
      <c r="C83" t="str">
        <f>IF(A83="","",UPPER(Trades!$D81))</f>
        <v/>
      </c>
      <c r="D83" t="str">
        <f>IF(A83="","",Trades!$E81)</f>
        <v/>
      </c>
      <c r="E83" s="13" t="str">
        <f>IF(A83="","",INDEX(Market!$J:$J,MATCH(D83,Market!$A:$A,0)))</f>
        <v/>
      </c>
      <c r="F83" s="13" t="str">
        <f>IF(A83="","",INDEX(Market!$K:$K,MATCH(D83,Market!$A:$A,0)))</f>
        <v/>
      </c>
      <c r="G83" s="13" t="str">
        <f>IF(A83="","",IF(AND(C83="OPTION",Trades!$T81&lt;&gt;""),Trades!$T81,INDEX(Market!$L:$L,MATCH(D83,Market!$A:$A,0))))</f>
        <v/>
      </c>
      <c r="H83" s="13" t="str">
        <f>IF(A83="","",IF(ISNUMBER(IF(C83="OPTION",Trades!$S81,Trades!$I81)),(IF(C83="OPTION",Trades!$S81,Trades!$I81)-Config!$B$2)/365,VALUE(LEFT(IF(C83="OPTION",Trades!$S81,Trades!$I81),LEN(IF(C83="OPTION",Trades!$S81,Trades!$I81))-1))*CHOOSE(MATCH(RIGHT(IF(C83="OPTION",Trades!$S81,Trades!$I81),1),{"D","W","M","Y"},0),1/365,7/365,1/12,1)))</f>
        <v/>
      </c>
      <c r="I83" s="13" t="str">
        <f>IF(A83="","",IFERROR(LOOKUP(2,1/((Curve!$G$2:$G$200=IF(IFERROR(INDEX(Market!$M:$M,MATCH(D83,Market!$A:$A,0))&amp;"","")="",IFERROR(VLOOKUP("reporting_ccy",Config!$A:$B,2,FALSE),""),INDEX(Market!$M:$M,MATCH(D83,Market!$A:$A,0))))*(Curve!$F$2:$F$200&lt;=H83)),Curve!$E$2:$E$200),IFERROR(INDEX(Curve!$E:$E,MATCH(IF(IFERROR(INDEX(Market!$M:$M,MATCH(D83,Market!$A:$A,0))&amp;"","")="",IFERROR(VLOOKUP("reporting_ccy",Config!$A:$B,2,FALSE),""),INDEX(Market!$M:$M,MATCH(D83,Market!$A:$A,0))),Curve!$G:$G,0)),Curve!$E$2)))</f>
        <v/>
      </c>
      <c r="J83" s="13" t="str">
        <f>IF(A83="","",IF(C83="OPTION",IF(ISNUMBER(Trades!$R81),Trades!$R81,IF(RIGHT(Trades!$R81,1)="%",VALUE(SUBSTITUTE(Trades!$R81,"%",""))/100*E83,VALUE(Trades!$R81))),IF(UPPER(Trades!$M81)="AVERAGE",Trades!$N81,E83)))</f>
        <v/>
      </c>
      <c r="K83" s="13" t="str">
        <f>IF(A83="","",IF(OR(UPPER(Trades!$F81)="BUY",UPPER(Trades!$F81)="RECEIVE_EQUITY"),1,-1))</f>
        <v/>
      </c>
      <c r="L83" s="13" t="str">
        <f>IF(A83="","",Trades!$G81)</f>
        <v/>
      </c>
      <c r="M83" s="13" t="str">
        <f>IF(A83="","",(LN(E83/J83)+(I83-F83+G83^2/2)*H83)/(G83*SQRT(H83)))</f>
        <v/>
      </c>
      <c r="N83" s="14" t="str">
        <f>IF(A83="","",IF(C83="OPTION",K83*L83*IF(LEFT(UPPER(Trades!$Q81),1)="C",(E83*EXP(-F83*H83)*_xlfn.NORM.S.DIST(M83,TRUE)-J83*EXP(-I83*H83)*_xlfn.NORM.S.DIST(M83-G83*SQRT(H83),TRUE)),(J83*EXP(-I83*H83)*_xlfn.NORM.S.DIST(-(M83-G83*SQRT(H83)),TRUE)-E83*EXP(-F83*H83)*_xlfn.NORM.S.DIST(-M83,TRUE))),K83*L83*(E83-J83)+IF(UPPER(Trades!$M81)="AVERAGE",0,N(Trades!$O81))-K83*L83*J83*N(Trades!$L81)*H83*365/360*EXP(-I83*H83/2)))</f>
        <v/>
      </c>
      <c r="O83" s="14" t="str">
        <f>IF(A83="","",SUMIFS(LegMTM!$F:$F,LegMTM!$B:$B,A83,LegMTM!$C:$C,B83))</f>
        <v/>
      </c>
      <c r="P83" s="14" t="str">
        <f>IF(A83="","",N83-O83)</f>
        <v/>
      </c>
      <c r="Q83" s="14" t="str">
        <f>IF(A83="","",IF($B$1&gt;=H83,0,IF(C83="OPTION",IF(K83&gt;0,N83*EXP(I83*$B$1),0),IF(OR(UPPER(Trades!$J81)="",UPPER(Trades!$J81)="NONE"),IF(K83&gt;0,L83*((E83*EXP((I83-F83)*$B$1))*_xlfn.NORM.S.DIST(((LN(E83/J83)-F83*$B$1+G83^2/2*$B$1)/(G83*SQRT($B$1))),TRUE)-(J83*EXP(I83*$B$1))*_xlfn.NORM.S.DIST(((LN(E83/J83)-F83*$B$1+G83^2/2*$B$1)/(G83*SQRT($B$1)))-G83*SQRT($B$1),TRUE)),L83*((J83*EXP(I83*$B$1))*_xlfn.NORM.S.DIST(-(((LN(E83/J83)-F83*$B$1+G83^2/2*$B$1)/(G83*SQRT($B$1)))-G83*SQRT($B$1)),TRUE)-(E83*EXP((I83-F83)*$B$1))*_xlfn.NORM.S.DIST(-((LN(E83/J83)-F83*$B$1+G83^2/2*$B$1)/(G83*SQRT($B$1))),TRUE))),"reset: see AnalyticCheck"))))</f>
        <v/>
      </c>
    </row>
    <row r="84" spans="1:17" x14ac:dyDescent="0.35">
      <c r="A84" t="str">
        <f>IF(Trades!$A82="","",Trades!$A82)</f>
        <v/>
      </c>
      <c r="B84" t="str">
        <f>IF(A84="","",Trades!$C82)</f>
        <v/>
      </c>
      <c r="C84" t="str">
        <f>IF(A84="","",UPPER(Trades!$D82))</f>
        <v/>
      </c>
      <c r="D84" t="str">
        <f>IF(A84="","",Trades!$E82)</f>
        <v/>
      </c>
      <c r="E84" s="13" t="str">
        <f>IF(A84="","",INDEX(Market!$J:$J,MATCH(D84,Market!$A:$A,0)))</f>
        <v/>
      </c>
      <c r="F84" s="13" t="str">
        <f>IF(A84="","",INDEX(Market!$K:$K,MATCH(D84,Market!$A:$A,0)))</f>
        <v/>
      </c>
      <c r="G84" s="13" t="str">
        <f>IF(A84="","",IF(AND(C84="OPTION",Trades!$T82&lt;&gt;""),Trades!$T82,INDEX(Market!$L:$L,MATCH(D84,Market!$A:$A,0))))</f>
        <v/>
      </c>
      <c r="H84" s="13" t="str">
        <f>IF(A84="","",IF(ISNUMBER(IF(C84="OPTION",Trades!$S82,Trades!$I82)),(IF(C84="OPTION",Trades!$S82,Trades!$I82)-Config!$B$2)/365,VALUE(LEFT(IF(C84="OPTION",Trades!$S82,Trades!$I82),LEN(IF(C84="OPTION",Trades!$S82,Trades!$I82))-1))*CHOOSE(MATCH(RIGHT(IF(C84="OPTION",Trades!$S82,Trades!$I82),1),{"D","W","M","Y"},0),1/365,7/365,1/12,1)))</f>
        <v/>
      </c>
      <c r="I84" s="13" t="str">
        <f>IF(A84="","",IFERROR(LOOKUP(2,1/((Curve!$G$2:$G$200=IF(IFERROR(INDEX(Market!$M:$M,MATCH(D84,Market!$A:$A,0))&amp;"","")="",IFERROR(VLOOKUP("reporting_ccy",Config!$A:$B,2,FALSE),""),INDEX(Market!$M:$M,MATCH(D84,Market!$A:$A,0))))*(Curve!$F$2:$F$200&lt;=H84)),Curve!$E$2:$E$200),IFERROR(INDEX(Curve!$E:$E,MATCH(IF(IFERROR(INDEX(Market!$M:$M,MATCH(D84,Market!$A:$A,0))&amp;"","")="",IFERROR(VLOOKUP("reporting_ccy",Config!$A:$B,2,FALSE),""),INDEX(Market!$M:$M,MATCH(D84,Market!$A:$A,0))),Curve!$G:$G,0)),Curve!$E$2)))</f>
        <v/>
      </c>
      <c r="J84" s="13" t="str">
        <f>IF(A84="","",IF(C84="OPTION",IF(ISNUMBER(Trades!$R82),Trades!$R82,IF(RIGHT(Trades!$R82,1)="%",VALUE(SUBSTITUTE(Trades!$R82,"%",""))/100*E84,VALUE(Trades!$R82))),IF(UPPER(Trades!$M82)="AVERAGE",Trades!$N82,E84)))</f>
        <v/>
      </c>
      <c r="K84" s="13" t="str">
        <f>IF(A84="","",IF(OR(UPPER(Trades!$F82)="BUY",UPPER(Trades!$F82)="RECEIVE_EQUITY"),1,-1))</f>
        <v/>
      </c>
      <c r="L84" s="13" t="str">
        <f>IF(A84="","",Trades!$G82)</f>
        <v/>
      </c>
      <c r="M84" s="13" t="str">
        <f>IF(A84="","",(LN(E84/J84)+(I84-F84+G84^2/2)*H84)/(G84*SQRT(H84)))</f>
        <v/>
      </c>
      <c r="N84" s="14" t="str">
        <f>IF(A84="","",IF(C84="OPTION",K84*L84*IF(LEFT(UPPER(Trades!$Q82),1)="C",(E84*EXP(-F84*H84)*_xlfn.NORM.S.DIST(M84,TRUE)-J84*EXP(-I84*H84)*_xlfn.NORM.S.DIST(M84-G84*SQRT(H84),TRUE)),(J84*EXP(-I84*H84)*_xlfn.NORM.S.DIST(-(M84-G84*SQRT(H84)),TRUE)-E84*EXP(-F84*H84)*_xlfn.NORM.S.DIST(-M84,TRUE))),K84*L84*(E84-J84)+IF(UPPER(Trades!$M82)="AVERAGE",0,N(Trades!$O82))-K84*L84*J84*N(Trades!$L82)*H84*365/360*EXP(-I84*H84/2)))</f>
        <v/>
      </c>
      <c r="O84" s="14" t="str">
        <f>IF(A84="","",SUMIFS(LegMTM!$F:$F,LegMTM!$B:$B,A84,LegMTM!$C:$C,B84))</f>
        <v/>
      </c>
      <c r="P84" s="14" t="str">
        <f>IF(A84="","",N84-O84)</f>
        <v/>
      </c>
      <c r="Q84" s="14" t="str">
        <f>IF(A84="","",IF($B$1&gt;=H84,0,IF(C84="OPTION",IF(K84&gt;0,N84*EXP(I84*$B$1),0),IF(OR(UPPER(Trades!$J82)="",UPPER(Trades!$J82)="NONE"),IF(K84&gt;0,L84*((E84*EXP((I84-F84)*$B$1))*_xlfn.NORM.S.DIST(((LN(E84/J84)-F84*$B$1+G84^2/2*$B$1)/(G84*SQRT($B$1))),TRUE)-(J84*EXP(I84*$B$1))*_xlfn.NORM.S.DIST(((LN(E84/J84)-F84*$B$1+G84^2/2*$B$1)/(G84*SQRT($B$1)))-G84*SQRT($B$1),TRUE)),L84*((J84*EXP(I84*$B$1))*_xlfn.NORM.S.DIST(-(((LN(E84/J84)-F84*$B$1+G84^2/2*$B$1)/(G84*SQRT($B$1)))-G84*SQRT($B$1)),TRUE)-(E84*EXP((I84-F84)*$B$1))*_xlfn.NORM.S.DIST(-((LN(E84/J84)-F84*$B$1+G84^2/2*$B$1)/(G84*SQRT($B$1))),TRUE))),"reset: see AnalyticCheck"))))</f>
        <v/>
      </c>
    </row>
    <row r="85" spans="1:17" x14ac:dyDescent="0.35">
      <c r="A85" t="str">
        <f>IF(Trades!$A83="","",Trades!$A83)</f>
        <v/>
      </c>
      <c r="B85" t="str">
        <f>IF(A85="","",Trades!$C83)</f>
        <v/>
      </c>
      <c r="C85" t="str">
        <f>IF(A85="","",UPPER(Trades!$D83))</f>
        <v/>
      </c>
      <c r="D85" t="str">
        <f>IF(A85="","",Trades!$E83)</f>
        <v/>
      </c>
      <c r="E85" s="13" t="str">
        <f>IF(A85="","",INDEX(Market!$J:$J,MATCH(D85,Market!$A:$A,0)))</f>
        <v/>
      </c>
      <c r="F85" s="13" t="str">
        <f>IF(A85="","",INDEX(Market!$K:$K,MATCH(D85,Market!$A:$A,0)))</f>
        <v/>
      </c>
      <c r="G85" s="13" t="str">
        <f>IF(A85="","",IF(AND(C85="OPTION",Trades!$T83&lt;&gt;""),Trades!$T83,INDEX(Market!$L:$L,MATCH(D85,Market!$A:$A,0))))</f>
        <v/>
      </c>
      <c r="H85" s="13" t="str">
        <f>IF(A85="","",IF(ISNUMBER(IF(C85="OPTION",Trades!$S83,Trades!$I83)),(IF(C85="OPTION",Trades!$S83,Trades!$I83)-Config!$B$2)/365,VALUE(LEFT(IF(C85="OPTION",Trades!$S83,Trades!$I83),LEN(IF(C85="OPTION",Trades!$S83,Trades!$I83))-1))*CHOOSE(MATCH(RIGHT(IF(C85="OPTION",Trades!$S83,Trades!$I83),1),{"D","W","M","Y"},0),1/365,7/365,1/12,1)))</f>
        <v/>
      </c>
      <c r="I85" s="13" t="str">
        <f>IF(A85="","",IFERROR(LOOKUP(2,1/((Curve!$G$2:$G$200=IF(IFERROR(INDEX(Market!$M:$M,MATCH(D85,Market!$A:$A,0))&amp;"","")="",IFERROR(VLOOKUP("reporting_ccy",Config!$A:$B,2,FALSE),""),INDEX(Market!$M:$M,MATCH(D85,Market!$A:$A,0))))*(Curve!$F$2:$F$200&lt;=H85)),Curve!$E$2:$E$200),IFERROR(INDEX(Curve!$E:$E,MATCH(IF(IFERROR(INDEX(Market!$M:$M,MATCH(D85,Market!$A:$A,0))&amp;"","")="",IFERROR(VLOOKUP("reporting_ccy",Config!$A:$B,2,FALSE),""),INDEX(Market!$M:$M,MATCH(D85,Market!$A:$A,0))),Curve!$G:$G,0)),Curve!$E$2)))</f>
        <v/>
      </c>
      <c r="J85" s="13" t="str">
        <f>IF(A85="","",IF(C85="OPTION",IF(ISNUMBER(Trades!$R83),Trades!$R83,IF(RIGHT(Trades!$R83,1)="%",VALUE(SUBSTITUTE(Trades!$R83,"%",""))/100*E85,VALUE(Trades!$R83))),IF(UPPER(Trades!$M83)="AVERAGE",Trades!$N83,E85)))</f>
        <v/>
      </c>
      <c r="K85" s="13" t="str">
        <f>IF(A85="","",IF(OR(UPPER(Trades!$F83)="BUY",UPPER(Trades!$F83)="RECEIVE_EQUITY"),1,-1))</f>
        <v/>
      </c>
      <c r="L85" s="13" t="str">
        <f>IF(A85="","",Trades!$G83)</f>
        <v/>
      </c>
      <c r="M85" s="13" t="str">
        <f>IF(A85="","",(LN(E85/J85)+(I85-F85+G85^2/2)*H85)/(G85*SQRT(H85)))</f>
        <v/>
      </c>
      <c r="N85" s="14" t="str">
        <f>IF(A85="","",IF(C85="OPTION",K85*L85*IF(LEFT(UPPER(Trades!$Q83),1)="C",(E85*EXP(-F85*H85)*_xlfn.NORM.S.DIST(M85,TRUE)-J85*EXP(-I85*H85)*_xlfn.NORM.S.DIST(M85-G85*SQRT(H85),TRUE)),(J85*EXP(-I85*H85)*_xlfn.NORM.S.DIST(-(M85-G85*SQRT(H85)),TRUE)-E85*EXP(-F85*H85)*_xlfn.NORM.S.DIST(-M85,TRUE))),K85*L85*(E85-J85)+IF(UPPER(Trades!$M83)="AVERAGE",0,N(Trades!$O83))-K85*L85*J85*N(Trades!$L83)*H85*365/360*EXP(-I85*H85/2)))</f>
        <v/>
      </c>
      <c r="O85" s="14" t="str">
        <f>IF(A85="","",SUMIFS(LegMTM!$F:$F,LegMTM!$B:$B,A85,LegMTM!$C:$C,B85))</f>
        <v/>
      </c>
      <c r="P85" s="14" t="str">
        <f>IF(A85="","",N85-O85)</f>
        <v/>
      </c>
      <c r="Q85" s="14" t="str">
        <f>IF(A85="","",IF($B$1&gt;=H85,0,IF(C85="OPTION",IF(K85&gt;0,N85*EXP(I85*$B$1),0),IF(OR(UPPER(Trades!$J83)="",UPPER(Trades!$J83)="NONE"),IF(K85&gt;0,L85*((E85*EXP((I85-F85)*$B$1))*_xlfn.NORM.S.DIST(((LN(E85/J85)-F85*$B$1+G85^2/2*$B$1)/(G85*SQRT($B$1))),TRUE)-(J85*EXP(I85*$B$1))*_xlfn.NORM.S.DIST(((LN(E85/J85)-F85*$B$1+G85^2/2*$B$1)/(G85*SQRT($B$1)))-G85*SQRT($B$1),TRUE)),L85*((J85*EXP(I85*$B$1))*_xlfn.NORM.S.DIST(-(((LN(E85/J85)-F85*$B$1+G85^2/2*$B$1)/(G85*SQRT($B$1)))-G85*SQRT($B$1)),TRUE)-(E85*EXP((I85-F85)*$B$1))*_xlfn.NORM.S.DIST(-((LN(E85/J85)-F85*$B$1+G85^2/2*$B$1)/(G85*SQRT($B$1))),TRUE))),"reset: see AnalyticCheck"))))</f>
        <v/>
      </c>
    </row>
    <row r="86" spans="1:17" x14ac:dyDescent="0.35">
      <c r="A86" t="str">
        <f>IF(Trades!$A84="","",Trades!$A84)</f>
        <v/>
      </c>
      <c r="B86" t="str">
        <f>IF(A86="","",Trades!$C84)</f>
        <v/>
      </c>
      <c r="C86" t="str">
        <f>IF(A86="","",UPPER(Trades!$D84))</f>
        <v/>
      </c>
      <c r="D86" t="str">
        <f>IF(A86="","",Trades!$E84)</f>
        <v/>
      </c>
      <c r="E86" s="13" t="str">
        <f>IF(A86="","",INDEX(Market!$J:$J,MATCH(D86,Market!$A:$A,0)))</f>
        <v/>
      </c>
      <c r="F86" s="13" t="str">
        <f>IF(A86="","",INDEX(Market!$K:$K,MATCH(D86,Market!$A:$A,0)))</f>
        <v/>
      </c>
      <c r="G86" s="13" t="str">
        <f>IF(A86="","",IF(AND(C86="OPTION",Trades!$T84&lt;&gt;""),Trades!$T84,INDEX(Market!$L:$L,MATCH(D86,Market!$A:$A,0))))</f>
        <v/>
      </c>
      <c r="H86" s="13" t="str">
        <f>IF(A86="","",IF(ISNUMBER(IF(C86="OPTION",Trades!$S84,Trades!$I84)),(IF(C86="OPTION",Trades!$S84,Trades!$I84)-Config!$B$2)/365,VALUE(LEFT(IF(C86="OPTION",Trades!$S84,Trades!$I84),LEN(IF(C86="OPTION",Trades!$S84,Trades!$I84))-1))*CHOOSE(MATCH(RIGHT(IF(C86="OPTION",Trades!$S84,Trades!$I84),1),{"D","W","M","Y"},0),1/365,7/365,1/12,1)))</f>
        <v/>
      </c>
      <c r="I86" s="13" t="str">
        <f>IF(A86="","",IFERROR(LOOKUP(2,1/((Curve!$G$2:$G$200=IF(IFERROR(INDEX(Market!$M:$M,MATCH(D86,Market!$A:$A,0))&amp;"","")="",IFERROR(VLOOKUP("reporting_ccy",Config!$A:$B,2,FALSE),""),INDEX(Market!$M:$M,MATCH(D86,Market!$A:$A,0))))*(Curve!$F$2:$F$200&lt;=H86)),Curve!$E$2:$E$200),IFERROR(INDEX(Curve!$E:$E,MATCH(IF(IFERROR(INDEX(Market!$M:$M,MATCH(D86,Market!$A:$A,0))&amp;"","")="",IFERROR(VLOOKUP("reporting_ccy",Config!$A:$B,2,FALSE),""),INDEX(Market!$M:$M,MATCH(D86,Market!$A:$A,0))),Curve!$G:$G,0)),Curve!$E$2)))</f>
        <v/>
      </c>
      <c r="J86" s="13" t="str">
        <f>IF(A86="","",IF(C86="OPTION",IF(ISNUMBER(Trades!$R84),Trades!$R84,IF(RIGHT(Trades!$R84,1)="%",VALUE(SUBSTITUTE(Trades!$R84,"%",""))/100*E86,VALUE(Trades!$R84))),IF(UPPER(Trades!$M84)="AVERAGE",Trades!$N84,E86)))</f>
        <v/>
      </c>
      <c r="K86" s="13" t="str">
        <f>IF(A86="","",IF(OR(UPPER(Trades!$F84)="BUY",UPPER(Trades!$F84)="RECEIVE_EQUITY"),1,-1))</f>
        <v/>
      </c>
      <c r="L86" s="13" t="str">
        <f>IF(A86="","",Trades!$G84)</f>
        <v/>
      </c>
      <c r="M86" s="13" t="str">
        <f>IF(A86="","",(LN(E86/J86)+(I86-F86+G86^2/2)*H86)/(G86*SQRT(H86)))</f>
        <v/>
      </c>
      <c r="N86" s="14" t="str">
        <f>IF(A86="","",IF(C86="OPTION",K86*L86*IF(LEFT(UPPER(Trades!$Q84),1)="C",(E86*EXP(-F86*H86)*_xlfn.NORM.S.DIST(M86,TRUE)-J86*EXP(-I86*H86)*_xlfn.NORM.S.DIST(M86-G86*SQRT(H86),TRUE)),(J86*EXP(-I86*H86)*_xlfn.NORM.S.DIST(-(M86-G86*SQRT(H86)),TRUE)-E86*EXP(-F86*H86)*_xlfn.NORM.S.DIST(-M86,TRUE))),K86*L86*(E86-J86)+IF(UPPER(Trades!$M84)="AVERAGE",0,N(Trades!$O84))-K86*L86*J86*N(Trades!$L84)*H86*365/360*EXP(-I86*H86/2)))</f>
        <v/>
      </c>
      <c r="O86" s="14" t="str">
        <f>IF(A86="","",SUMIFS(LegMTM!$F:$F,LegMTM!$B:$B,A86,LegMTM!$C:$C,B86))</f>
        <v/>
      </c>
      <c r="P86" s="14" t="str">
        <f>IF(A86="","",N86-O86)</f>
        <v/>
      </c>
      <c r="Q86" s="14" t="str">
        <f>IF(A86="","",IF($B$1&gt;=H86,0,IF(C86="OPTION",IF(K86&gt;0,N86*EXP(I86*$B$1),0),IF(OR(UPPER(Trades!$J84)="",UPPER(Trades!$J84)="NONE"),IF(K86&gt;0,L86*((E86*EXP((I86-F86)*$B$1))*_xlfn.NORM.S.DIST(((LN(E86/J86)-F86*$B$1+G86^2/2*$B$1)/(G86*SQRT($B$1))),TRUE)-(J86*EXP(I86*$B$1))*_xlfn.NORM.S.DIST(((LN(E86/J86)-F86*$B$1+G86^2/2*$B$1)/(G86*SQRT($B$1)))-G86*SQRT($B$1),TRUE)),L86*((J86*EXP(I86*$B$1))*_xlfn.NORM.S.DIST(-(((LN(E86/J86)-F86*$B$1+G86^2/2*$B$1)/(G86*SQRT($B$1)))-G86*SQRT($B$1)),TRUE)-(E86*EXP((I86-F86)*$B$1))*_xlfn.NORM.S.DIST(-((LN(E86/J86)-F86*$B$1+G86^2/2*$B$1)/(G86*SQRT($B$1))),TRUE))),"reset: see AnalyticCheck"))))</f>
        <v/>
      </c>
    </row>
    <row r="87" spans="1:17" x14ac:dyDescent="0.35">
      <c r="A87" t="str">
        <f>IF(Trades!$A85="","",Trades!$A85)</f>
        <v/>
      </c>
      <c r="B87" t="str">
        <f>IF(A87="","",Trades!$C85)</f>
        <v/>
      </c>
      <c r="C87" t="str">
        <f>IF(A87="","",UPPER(Trades!$D85))</f>
        <v/>
      </c>
      <c r="D87" t="str">
        <f>IF(A87="","",Trades!$E85)</f>
        <v/>
      </c>
      <c r="E87" s="13" t="str">
        <f>IF(A87="","",INDEX(Market!$J:$J,MATCH(D87,Market!$A:$A,0)))</f>
        <v/>
      </c>
      <c r="F87" s="13" t="str">
        <f>IF(A87="","",INDEX(Market!$K:$K,MATCH(D87,Market!$A:$A,0)))</f>
        <v/>
      </c>
      <c r="G87" s="13" t="str">
        <f>IF(A87="","",IF(AND(C87="OPTION",Trades!$T85&lt;&gt;""),Trades!$T85,INDEX(Market!$L:$L,MATCH(D87,Market!$A:$A,0))))</f>
        <v/>
      </c>
      <c r="H87" s="13" t="str">
        <f>IF(A87="","",IF(ISNUMBER(IF(C87="OPTION",Trades!$S85,Trades!$I85)),(IF(C87="OPTION",Trades!$S85,Trades!$I85)-Config!$B$2)/365,VALUE(LEFT(IF(C87="OPTION",Trades!$S85,Trades!$I85),LEN(IF(C87="OPTION",Trades!$S85,Trades!$I85))-1))*CHOOSE(MATCH(RIGHT(IF(C87="OPTION",Trades!$S85,Trades!$I85),1),{"D","W","M","Y"},0),1/365,7/365,1/12,1)))</f>
        <v/>
      </c>
      <c r="I87" s="13" t="str">
        <f>IF(A87="","",IFERROR(LOOKUP(2,1/((Curve!$G$2:$G$200=IF(IFERROR(INDEX(Market!$M:$M,MATCH(D87,Market!$A:$A,0))&amp;"","")="",IFERROR(VLOOKUP("reporting_ccy",Config!$A:$B,2,FALSE),""),INDEX(Market!$M:$M,MATCH(D87,Market!$A:$A,0))))*(Curve!$F$2:$F$200&lt;=H87)),Curve!$E$2:$E$200),IFERROR(INDEX(Curve!$E:$E,MATCH(IF(IFERROR(INDEX(Market!$M:$M,MATCH(D87,Market!$A:$A,0))&amp;"","")="",IFERROR(VLOOKUP("reporting_ccy",Config!$A:$B,2,FALSE),""),INDEX(Market!$M:$M,MATCH(D87,Market!$A:$A,0))),Curve!$G:$G,0)),Curve!$E$2)))</f>
        <v/>
      </c>
      <c r="J87" s="13" t="str">
        <f>IF(A87="","",IF(C87="OPTION",IF(ISNUMBER(Trades!$R85),Trades!$R85,IF(RIGHT(Trades!$R85,1)="%",VALUE(SUBSTITUTE(Trades!$R85,"%",""))/100*E87,VALUE(Trades!$R85))),IF(UPPER(Trades!$M85)="AVERAGE",Trades!$N85,E87)))</f>
        <v/>
      </c>
      <c r="K87" s="13" t="str">
        <f>IF(A87="","",IF(OR(UPPER(Trades!$F85)="BUY",UPPER(Trades!$F85)="RECEIVE_EQUITY"),1,-1))</f>
        <v/>
      </c>
      <c r="L87" s="13" t="str">
        <f>IF(A87="","",Trades!$G85)</f>
        <v/>
      </c>
      <c r="M87" s="13" t="str">
        <f>IF(A87="","",(LN(E87/J87)+(I87-F87+G87^2/2)*H87)/(G87*SQRT(H87)))</f>
        <v/>
      </c>
      <c r="N87" s="14" t="str">
        <f>IF(A87="","",IF(C87="OPTION",K87*L87*IF(LEFT(UPPER(Trades!$Q85),1)="C",(E87*EXP(-F87*H87)*_xlfn.NORM.S.DIST(M87,TRUE)-J87*EXP(-I87*H87)*_xlfn.NORM.S.DIST(M87-G87*SQRT(H87),TRUE)),(J87*EXP(-I87*H87)*_xlfn.NORM.S.DIST(-(M87-G87*SQRT(H87)),TRUE)-E87*EXP(-F87*H87)*_xlfn.NORM.S.DIST(-M87,TRUE))),K87*L87*(E87-J87)+IF(UPPER(Trades!$M85)="AVERAGE",0,N(Trades!$O85))-K87*L87*J87*N(Trades!$L85)*H87*365/360*EXP(-I87*H87/2)))</f>
        <v/>
      </c>
      <c r="O87" s="14" t="str">
        <f>IF(A87="","",SUMIFS(LegMTM!$F:$F,LegMTM!$B:$B,A87,LegMTM!$C:$C,B87))</f>
        <v/>
      </c>
      <c r="P87" s="14" t="str">
        <f>IF(A87="","",N87-O87)</f>
        <v/>
      </c>
      <c r="Q87" s="14" t="str">
        <f>IF(A87="","",IF($B$1&gt;=H87,0,IF(C87="OPTION",IF(K87&gt;0,N87*EXP(I87*$B$1),0),IF(OR(UPPER(Trades!$J85)="",UPPER(Trades!$J85)="NONE"),IF(K87&gt;0,L87*((E87*EXP((I87-F87)*$B$1))*_xlfn.NORM.S.DIST(((LN(E87/J87)-F87*$B$1+G87^2/2*$B$1)/(G87*SQRT($B$1))),TRUE)-(J87*EXP(I87*$B$1))*_xlfn.NORM.S.DIST(((LN(E87/J87)-F87*$B$1+G87^2/2*$B$1)/(G87*SQRT($B$1)))-G87*SQRT($B$1),TRUE)),L87*((J87*EXP(I87*$B$1))*_xlfn.NORM.S.DIST(-(((LN(E87/J87)-F87*$B$1+G87^2/2*$B$1)/(G87*SQRT($B$1)))-G87*SQRT($B$1)),TRUE)-(E87*EXP((I87-F87)*$B$1))*_xlfn.NORM.S.DIST(-((LN(E87/J87)-F87*$B$1+G87^2/2*$B$1)/(G87*SQRT($B$1))),TRUE))),"reset: see AnalyticCheck"))))</f>
        <v/>
      </c>
    </row>
    <row r="88" spans="1:17" x14ac:dyDescent="0.35">
      <c r="A88" t="str">
        <f>IF(Trades!$A86="","",Trades!$A86)</f>
        <v/>
      </c>
      <c r="B88" t="str">
        <f>IF(A88="","",Trades!$C86)</f>
        <v/>
      </c>
      <c r="C88" t="str">
        <f>IF(A88="","",UPPER(Trades!$D86))</f>
        <v/>
      </c>
      <c r="D88" t="str">
        <f>IF(A88="","",Trades!$E86)</f>
        <v/>
      </c>
      <c r="E88" s="13" t="str">
        <f>IF(A88="","",INDEX(Market!$J:$J,MATCH(D88,Market!$A:$A,0)))</f>
        <v/>
      </c>
      <c r="F88" s="13" t="str">
        <f>IF(A88="","",INDEX(Market!$K:$K,MATCH(D88,Market!$A:$A,0)))</f>
        <v/>
      </c>
      <c r="G88" s="13" t="str">
        <f>IF(A88="","",IF(AND(C88="OPTION",Trades!$T86&lt;&gt;""),Trades!$T86,INDEX(Market!$L:$L,MATCH(D88,Market!$A:$A,0))))</f>
        <v/>
      </c>
      <c r="H88" s="13" t="str">
        <f>IF(A88="","",IF(ISNUMBER(IF(C88="OPTION",Trades!$S86,Trades!$I86)),(IF(C88="OPTION",Trades!$S86,Trades!$I86)-Config!$B$2)/365,VALUE(LEFT(IF(C88="OPTION",Trades!$S86,Trades!$I86),LEN(IF(C88="OPTION",Trades!$S86,Trades!$I86))-1))*CHOOSE(MATCH(RIGHT(IF(C88="OPTION",Trades!$S86,Trades!$I86),1),{"D","W","M","Y"},0),1/365,7/365,1/12,1)))</f>
        <v/>
      </c>
      <c r="I88" s="13" t="str">
        <f>IF(A88="","",IFERROR(LOOKUP(2,1/((Curve!$G$2:$G$200=IF(IFERROR(INDEX(Market!$M:$M,MATCH(D88,Market!$A:$A,0))&amp;"","")="",IFERROR(VLOOKUP("reporting_ccy",Config!$A:$B,2,FALSE),""),INDEX(Market!$M:$M,MATCH(D88,Market!$A:$A,0))))*(Curve!$F$2:$F$200&lt;=H88)),Curve!$E$2:$E$200),IFERROR(INDEX(Curve!$E:$E,MATCH(IF(IFERROR(INDEX(Market!$M:$M,MATCH(D88,Market!$A:$A,0))&amp;"","")="",IFERROR(VLOOKUP("reporting_ccy",Config!$A:$B,2,FALSE),""),INDEX(Market!$M:$M,MATCH(D88,Market!$A:$A,0))),Curve!$G:$G,0)),Curve!$E$2)))</f>
        <v/>
      </c>
      <c r="J88" s="13" t="str">
        <f>IF(A88="","",IF(C88="OPTION",IF(ISNUMBER(Trades!$R86),Trades!$R86,IF(RIGHT(Trades!$R86,1)="%",VALUE(SUBSTITUTE(Trades!$R86,"%",""))/100*E88,VALUE(Trades!$R86))),IF(UPPER(Trades!$M86)="AVERAGE",Trades!$N86,E88)))</f>
        <v/>
      </c>
      <c r="K88" s="13" t="str">
        <f>IF(A88="","",IF(OR(UPPER(Trades!$F86)="BUY",UPPER(Trades!$F86)="RECEIVE_EQUITY"),1,-1))</f>
        <v/>
      </c>
      <c r="L88" s="13" t="str">
        <f>IF(A88="","",Trades!$G86)</f>
        <v/>
      </c>
      <c r="M88" s="13" t="str">
        <f>IF(A88="","",(LN(E88/J88)+(I88-F88+G88^2/2)*H88)/(G88*SQRT(H88)))</f>
        <v/>
      </c>
      <c r="N88" s="14" t="str">
        <f>IF(A88="","",IF(C88="OPTION",K88*L88*IF(LEFT(UPPER(Trades!$Q86),1)="C",(E88*EXP(-F88*H88)*_xlfn.NORM.S.DIST(M88,TRUE)-J88*EXP(-I88*H88)*_xlfn.NORM.S.DIST(M88-G88*SQRT(H88),TRUE)),(J88*EXP(-I88*H88)*_xlfn.NORM.S.DIST(-(M88-G88*SQRT(H88)),TRUE)-E88*EXP(-F88*H88)*_xlfn.NORM.S.DIST(-M88,TRUE))),K88*L88*(E88-J88)+IF(UPPER(Trades!$M86)="AVERAGE",0,N(Trades!$O86))-K88*L88*J88*N(Trades!$L86)*H88*365/360*EXP(-I88*H88/2)))</f>
        <v/>
      </c>
      <c r="O88" s="14" t="str">
        <f>IF(A88="","",SUMIFS(LegMTM!$F:$F,LegMTM!$B:$B,A88,LegMTM!$C:$C,B88))</f>
        <v/>
      </c>
      <c r="P88" s="14" t="str">
        <f>IF(A88="","",N88-O88)</f>
        <v/>
      </c>
      <c r="Q88" s="14" t="str">
        <f>IF(A88="","",IF($B$1&gt;=H88,0,IF(C88="OPTION",IF(K88&gt;0,N88*EXP(I88*$B$1),0),IF(OR(UPPER(Trades!$J86)="",UPPER(Trades!$J86)="NONE"),IF(K88&gt;0,L88*((E88*EXP((I88-F88)*$B$1))*_xlfn.NORM.S.DIST(((LN(E88/J88)-F88*$B$1+G88^2/2*$B$1)/(G88*SQRT($B$1))),TRUE)-(J88*EXP(I88*$B$1))*_xlfn.NORM.S.DIST(((LN(E88/J88)-F88*$B$1+G88^2/2*$B$1)/(G88*SQRT($B$1)))-G88*SQRT($B$1),TRUE)),L88*((J88*EXP(I88*$B$1))*_xlfn.NORM.S.DIST(-(((LN(E88/J88)-F88*$B$1+G88^2/2*$B$1)/(G88*SQRT($B$1)))-G88*SQRT($B$1)),TRUE)-(E88*EXP((I88-F88)*$B$1))*_xlfn.NORM.S.DIST(-((LN(E88/J88)-F88*$B$1+G88^2/2*$B$1)/(G88*SQRT($B$1))),TRUE))),"reset: see AnalyticCheck"))))</f>
        <v/>
      </c>
    </row>
    <row r="89" spans="1:17" x14ac:dyDescent="0.35">
      <c r="A89" t="str">
        <f>IF(Trades!$A87="","",Trades!$A87)</f>
        <v/>
      </c>
      <c r="B89" t="str">
        <f>IF(A89="","",Trades!$C87)</f>
        <v/>
      </c>
      <c r="C89" t="str">
        <f>IF(A89="","",UPPER(Trades!$D87))</f>
        <v/>
      </c>
      <c r="D89" t="str">
        <f>IF(A89="","",Trades!$E87)</f>
        <v/>
      </c>
      <c r="E89" s="13" t="str">
        <f>IF(A89="","",INDEX(Market!$J:$J,MATCH(D89,Market!$A:$A,0)))</f>
        <v/>
      </c>
      <c r="F89" s="13" t="str">
        <f>IF(A89="","",INDEX(Market!$K:$K,MATCH(D89,Market!$A:$A,0)))</f>
        <v/>
      </c>
      <c r="G89" s="13" t="str">
        <f>IF(A89="","",IF(AND(C89="OPTION",Trades!$T87&lt;&gt;""),Trades!$T87,INDEX(Market!$L:$L,MATCH(D89,Market!$A:$A,0))))</f>
        <v/>
      </c>
      <c r="H89" s="13" t="str">
        <f>IF(A89="","",IF(ISNUMBER(IF(C89="OPTION",Trades!$S87,Trades!$I87)),(IF(C89="OPTION",Trades!$S87,Trades!$I87)-Config!$B$2)/365,VALUE(LEFT(IF(C89="OPTION",Trades!$S87,Trades!$I87),LEN(IF(C89="OPTION",Trades!$S87,Trades!$I87))-1))*CHOOSE(MATCH(RIGHT(IF(C89="OPTION",Trades!$S87,Trades!$I87),1),{"D","W","M","Y"},0),1/365,7/365,1/12,1)))</f>
        <v/>
      </c>
      <c r="I89" s="13" t="str">
        <f>IF(A89="","",IFERROR(LOOKUP(2,1/((Curve!$G$2:$G$200=IF(IFERROR(INDEX(Market!$M:$M,MATCH(D89,Market!$A:$A,0))&amp;"","")="",IFERROR(VLOOKUP("reporting_ccy",Config!$A:$B,2,FALSE),""),INDEX(Market!$M:$M,MATCH(D89,Market!$A:$A,0))))*(Curve!$F$2:$F$200&lt;=H89)),Curve!$E$2:$E$200),IFERROR(INDEX(Curve!$E:$E,MATCH(IF(IFERROR(INDEX(Market!$M:$M,MATCH(D89,Market!$A:$A,0))&amp;"","")="",IFERROR(VLOOKUP("reporting_ccy",Config!$A:$B,2,FALSE),""),INDEX(Market!$M:$M,MATCH(D89,Market!$A:$A,0))),Curve!$G:$G,0)),Curve!$E$2)))</f>
        <v/>
      </c>
      <c r="J89" s="13" t="str">
        <f>IF(A89="","",IF(C89="OPTION",IF(ISNUMBER(Trades!$R87),Trades!$R87,IF(RIGHT(Trades!$R87,1)="%",VALUE(SUBSTITUTE(Trades!$R87,"%",""))/100*E89,VALUE(Trades!$R87))),IF(UPPER(Trades!$M87)="AVERAGE",Trades!$N87,E89)))</f>
        <v/>
      </c>
      <c r="K89" s="13" t="str">
        <f>IF(A89="","",IF(OR(UPPER(Trades!$F87)="BUY",UPPER(Trades!$F87)="RECEIVE_EQUITY"),1,-1))</f>
        <v/>
      </c>
      <c r="L89" s="13" t="str">
        <f>IF(A89="","",Trades!$G87)</f>
        <v/>
      </c>
      <c r="M89" s="13" t="str">
        <f>IF(A89="","",(LN(E89/J89)+(I89-F89+G89^2/2)*H89)/(G89*SQRT(H89)))</f>
        <v/>
      </c>
      <c r="N89" s="14" t="str">
        <f>IF(A89="","",IF(C89="OPTION",K89*L89*IF(LEFT(UPPER(Trades!$Q87),1)="C",(E89*EXP(-F89*H89)*_xlfn.NORM.S.DIST(M89,TRUE)-J89*EXP(-I89*H89)*_xlfn.NORM.S.DIST(M89-G89*SQRT(H89),TRUE)),(J89*EXP(-I89*H89)*_xlfn.NORM.S.DIST(-(M89-G89*SQRT(H89)),TRUE)-E89*EXP(-F89*H89)*_xlfn.NORM.S.DIST(-M89,TRUE))),K89*L89*(E89-J89)+IF(UPPER(Trades!$M87)="AVERAGE",0,N(Trades!$O87))-K89*L89*J89*N(Trades!$L87)*H89*365/360*EXP(-I89*H89/2)))</f>
        <v/>
      </c>
      <c r="O89" s="14" t="str">
        <f>IF(A89="","",SUMIFS(LegMTM!$F:$F,LegMTM!$B:$B,A89,LegMTM!$C:$C,B89))</f>
        <v/>
      </c>
      <c r="P89" s="14" t="str">
        <f>IF(A89="","",N89-O89)</f>
        <v/>
      </c>
      <c r="Q89" s="14" t="str">
        <f>IF(A89="","",IF($B$1&gt;=H89,0,IF(C89="OPTION",IF(K89&gt;0,N89*EXP(I89*$B$1),0),IF(OR(UPPER(Trades!$J87)="",UPPER(Trades!$J87)="NONE"),IF(K89&gt;0,L89*((E89*EXP((I89-F89)*$B$1))*_xlfn.NORM.S.DIST(((LN(E89/J89)-F89*$B$1+G89^2/2*$B$1)/(G89*SQRT($B$1))),TRUE)-(J89*EXP(I89*$B$1))*_xlfn.NORM.S.DIST(((LN(E89/J89)-F89*$B$1+G89^2/2*$B$1)/(G89*SQRT($B$1)))-G89*SQRT($B$1),TRUE)),L89*((J89*EXP(I89*$B$1))*_xlfn.NORM.S.DIST(-(((LN(E89/J89)-F89*$B$1+G89^2/2*$B$1)/(G89*SQRT($B$1)))-G89*SQRT($B$1)),TRUE)-(E89*EXP((I89-F89)*$B$1))*_xlfn.NORM.S.DIST(-((LN(E89/J89)-F89*$B$1+G89^2/2*$B$1)/(G89*SQRT($B$1))),TRUE))),"reset: see AnalyticCheck"))))</f>
        <v/>
      </c>
    </row>
    <row r="90" spans="1:17" x14ac:dyDescent="0.35">
      <c r="A90" t="str">
        <f>IF(Trades!$A88="","",Trades!$A88)</f>
        <v/>
      </c>
      <c r="B90" t="str">
        <f>IF(A90="","",Trades!$C88)</f>
        <v/>
      </c>
      <c r="C90" t="str">
        <f>IF(A90="","",UPPER(Trades!$D88))</f>
        <v/>
      </c>
      <c r="D90" t="str">
        <f>IF(A90="","",Trades!$E88)</f>
        <v/>
      </c>
      <c r="E90" s="13" t="str">
        <f>IF(A90="","",INDEX(Market!$J:$J,MATCH(D90,Market!$A:$A,0)))</f>
        <v/>
      </c>
      <c r="F90" s="13" t="str">
        <f>IF(A90="","",INDEX(Market!$K:$K,MATCH(D90,Market!$A:$A,0)))</f>
        <v/>
      </c>
      <c r="G90" s="13" t="str">
        <f>IF(A90="","",IF(AND(C90="OPTION",Trades!$T88&lt;&gt;""),Trades!$T88,INDEX(Market!$L:$L,MATCH(D90,Market!$A:$A,0))))</f>
        <v/>
      </c>
      <c r="H90" s="13" t="str">
        <f>IF(A90="","",IF(ISNUMBER(IF(C90="OPTION",Trades!$S88,Trades!$I88)),(IF(C90="OPTION",Trades!$S88,Trades!$I88)-Config!$B$2)/365,VALUE(LEFT(IF(C90="OPTION",Trades!$S88,Trades!$I88),LEN(IF(C90="OPTION",Trades!$S88,Trades!$I88))-1))*CHOOSE(MATCH(RIGHT(IF(C90="OPTION",Trades!$S88,Trades!$I88),1),{"D","W","M","Y"},0),1/365,7/365,1/12,1)))</f>
        <v/>
      </c>
      <c r="I90" s="13" t="str">
        <f>IF(A90="","",IFERROR(LOOKUP(2,1/((Curve!$G$2:$G$200=IF(IFERROR(INDEX(Market!$M:$M,MATCH(D90,Market!$A:$A,0))&amp;"","")="",IFERROR(VLOOKUP("reporting_ccy",Config!$A:$B,2,FALSE),""),INDEX(Market!$M:$M,MATCH(D90,Market!$A:$A,0))))*(Curve!$F$2:$F$200&lt;=H90)),Curve!$E$2:$E$200),IFERROR(INDEX(Curve!$E:$E,MATCH(IF(IFERROR(INDEX(Market!$M:$M,MATCH(D90,Market!$A:$A,0))&amp;"","")="",IFERROR(VLOOKUP("reporting_ccy",Config!$A:$B,2,FALSE),""),INDEX(Market!$M:$M,MATCH(D90,Market!$A:$A,0))),Curve!$G:$G,0)),Curve!$E$2)))</f>
        <v/>
      </c>
      <c r="J90" s="13" t="str">
        <f>IF(A90="","",IF(C90="OPTION",IF(ISNUMBER(Trades!$R88),Trades!$R88,IF(RIGHT(Trades!$R88,1)="%",VALUE(SUBSTITUTE(Trades!$R88,"%",""))/100*E90,VALUE(Trades!$R88))),IF(UPPER(Trades!$M88)="AVERAGE",Trades!$N88,E90)))</f>
        <v/>
      </c>
      <c r="K90" s="13" t="str">
        <f>IF(A90="","",IF(OR(UPPER(Trades!$F88)="BUY",UPPER(Trades!$F88)="RECEIVE_EQUITY"),1,-1))</f>
        <v/>
      </c>
      <c r="L90" s="13" t="str">
        <f>IF(A90="","",Trades!$G88)</f>
        <v/>
      </c>
      <c r="M90" s="13" t="str">
        <f>IF(A90="","",(LN(E90/J90)+(I90-F90+G90^2/2)*H90)/(G90*SQRT(H90)))</f>
        <v/>
      </c>
      <c r="N90" s="14" t="str">
        <f>IF(A90="","",IF(C90="OPTION",K90*L90*IF(LEFT(UPPER(Trades!$Q88),1)="C",(E90*EXP(-F90*H90)*_xlfn.NORM.S.DIST(M90,TRUE)-J90*EXP(-I90*H90)*_xlfn.NORM.S.DIST(M90-G90*SQRT(H90),TRUE)),(J90*EXP(-I90*H90)*_xlfn.NORM.S.DIST(-(M90-G90*SQRT(H90)),TRUE)-E90*EXP(-F90*H90)*_xlfn.NORM.S.DIST(-M90,TRUE))),K90*L90*(E90-J90)+IF(UPPER(Trades!$M88)="AVERAGE",0,N(Trades!$O88))-K90*L90*J90*N(Trades!$L88)*H90*365/360*EXP(-I90*H90/2)))</f>
        <v/>
      </c>
      <c r="O90" s="14" t="str">
        <f>IF(A90="","",SUMIFS(LegMTM!$F:$F,LegMTM!$B:$B,A90,LegMTM!$C:$C,B90))</f>
        <v/>
      </c>
      <c r="P90" s="14" t="str">
        <f>IF(A90="","",N90-O90)</f>
        <v/>
      </c>
      <c r="Q90" s="14" t="str">
        <f>IF(A90="","",IF($B$1&gt;=H90,0,IF(C90="OPTION",IF(K90&gt;0,N90*EXP(I90*$B$1),0),IF(OR(UPPER(Trades!$J88)="",UPPER(Trades!$J88)="NONE"),IF(K90&gt;0,L90*((E90*EXP((I90-F90)*$B$1))*_xlfn.NORM.S.DIST(((LN(E90/J90)-F90*$B$1+G90^2/2*$B$1)/(G90*SQRT($B$1))),TRUE)-(J90*EXP(I90*$B$1))*_xlfn.NORM.S.DIST(((LN(E90/J90)-F90*$B$1+G90^2/2*$B$1)/(G90*SQRT($B$1)))-G90*SQRT($B$1),TRUE)),L90*((J90*EXP(I90*$B$1))*_xlfn.NORM.S.DIST(-(((LN(E90/J90)-F90*$B$1+G90^2/2*$B$1)/(G90*SQRT($B$1)))-G90*SQRT($B$1)),TRUE)-(E90*EXP((I90-F90)*$B$1))*_xlfn.NORM.S.DIST(-((LN(E90/J90)-F90*$B$1+G90^2/2*$B$1)/(G90*SQRT($B$1))),TRUE))),"reset: see AnalyticCheck"))))</f>
        <v/>
      </c>
    </row>
    <row r="91" spans="1:17" x14ac:dyDescent="0.35">
      <c r="A91" t="str">
        <f>IF(Trades!$A89="","",Trades!$A89)</f>
        <v/>
      </c>
      <c r="B91" t="str">
        <f>IF(A91="","",Trades!$C89)</f>
        <v/>
      </c>
      <c r="C91" t="str">
        <f>IF(A91="","",UPPER(Trades!$D89))</f>
        <v/>
      </c>
      <c r="D91" t="str">
        <f>IF(A91="","",Trades!$E89)</f>
        <v/>
      </c>
      <c r="E91" s="13" t="str">
        <f>IF(A91="","",INDEX(Market!$J:$J,MATCH(D91,Market!$A:$A,0)))</f>
        <v/>
      </c>
      <c r="F91" s="13" t="str">
        <f>IF(A91="","",INDEX(Market!$K:$K,MATCH(D91,Market!$A:$A,0)))</f>
        <v/>
      </c>
      <c r="G91" s="13" t="str">
        <f>IF(A91="","",IF(AND(C91="OPTION",Trades!$T89&lt;&gt;""),Trades!$T89,INDEX(Market!$L:$L,MATCH(D91,Market!$A:$A,0))))</f>
        <v/>
      </c>
      <c r="H91" s="13" t="str">
        <f>IF(A91="","",IF(ISNUMBER(IF(C91="OPTION",Trades!$S89,Trades!$I89)),(IF(C91="OPTION",Trades!$S89,Trades!$I89)-Config!$B$2)/365,VALUE(LEFT(IF(C91="OPTION",Trades!$S89,Trades!$I89),LEN(IF(C91="OPTION",Trades!$S89,Trades!$I89))-1))*CHOOSE(MATCH(RIGHT(IF(C91="OPTION",Trades!$S89,Trades!$I89),1),{"D","W","M","Y"},0),1/365,7/365,1/12,1)))</f>
        <v/>
      </c>
      <c r="I91" s="13" t="str">
        <f>IF(A91="","",IFERROR(LOOKUP(2,1/((Curve!$G$2:$G$200=IF(IFERROR(INDEX(Market!$M:$M,MATCH(D91,Market!$A:$A,0))&amp;"","")="",IFERROR(VLOOKUP("reporting_ccy",Config!$A:$B,2,FALSE),""),INDEX(Market!$M:$M,MATCH(D91,Market!$A:$A,0))))*(Curve!$F$2:$F$200&lt;=H91)),Curve!$E$2:$E$200),IFERROR(INDEX(Curve!$E:$E,MATCH(IF(IFERROR(INDEX(Market!$M:$M,MATCH(D91,Market!$A:$A,0))&amp;"","")="",IFERROR(VLOOKUP("reporting_ccy",Config!$A:$B,2,FALSE),""),INDEX(Market!$M:$M,MATCH(D91,Market!$A:$A,0))),Curve!$G:$G,0)),Curve!$E$2)))</f>
        <v/>
      </c>
      <c r="J91" s="13" t="str">
        <f>IF(A91="","",IF(C91="OPTION",IF(ISNUMBER(Trades!$R89),Trades!$R89,IF(RIGHT(Trades!$R89,1)="%",VALUE(SUBSTITUTE(Trades!$R89,"%",""))/100*E91,VALUE(Trades!$R89))),IF(UPPER(Trades!$M89)="AVERAGE",Trades!$N89,E91)))</f>
        <v/>
      </c>
      <c r="K91" s="13" t="str">
        <f>IF(A91="","",IF(OR(UPPER(Trades!$F89)="BUY",UPPER(Trades!$F89)="RECEIVE_EQUITY"),1,-1))</f>
        <v/>
      </c>
      <c r="L91" s="13" t="str">
        <f>IF(A91="","",Trades!$G89)</f>
        <v/>
      </c>
      <c r="M91" s="13" t="str">
        <f>IF(A91="","",(LN(E91/J91)+(I91-F91+G91^2/2)*H91)/(G91*SQRT(H91)))</f>
        <v/>
      </c>
      <c r="N91" s="14" t="str">
        <f>IF(A91="","",IF(C91="OPTION",K91*L91*IF(LEFT(UPPER(Trades!$Q89),1)="C",(E91*EXP(-F91*H91)*_xlfn.NORM.S.DIST(M91,TRUE)-J91*EXP(-I91*H91)*_xlfn.NORM.S.DIST(M91-G91*SQRT(H91),TRUE)),(J91*EXP(-I91*H91)*_xlfn.NORM.S.DIST(-(M91-G91*SQRT(H91)),TRUE)-E91*EXP(-F91*H91)*_xlfn.NORM.S.DIST(-M91,TRUE))),K91*L91*(E91-J91)+IF(UPPER(Trades!$M89)="AVERAGE",0,N(Trades!$O89))-K91*L91*J91*N(Trades!$L89)*H91*365/360*EXP(-I91*H91/2)))</f>
        <v/>
      </c>
      <c r="O91" s="14" t="str">
        <f>IF(A91="","",SUMIFS(LegMTM!$F:$F,LegMTM!$B:$B,A91,LegMTM!$C:$C,B91))</f>
        <v/>
      </c>
      <c r="P91" s="14" t="str">
        <f>IF(A91="","",N91-O91)</f>
        <v/>
      </c>
      <c r="Q91" s="14" t="str">
        <f>IF(A91="","",IF($B$1&gt;=H91,0,IF(C91="OPTION",IF(K91&gt;0,N91*EXP(I91*$B$1),0),IF(OR(UPPER(Trades!$J89)="",UPPER(Trades!$J89)="NONE"),IF(K91&gt;0,L91*((E91*EXP((I91-F91)*$B$1))*_xlfn.NORM.S.DIST(((LN(E91/J91)-F91*$B$1+G91^2/2*$B$1)/(G91*SQRT($B$1))),TRUE)-(J91*EXP(I91*$B$1))*_xlfn.NORM.S.DIST(((LN(E91/J91)-F91*$B$1+G91^2/2*$B$1)/(G91*SQRT($B$1)))-G91*SQRT($B$1),TRUE)),L91*((J91*EXP(I91*$B$1))*_xlfn.NORM.S.DIST(-(((LN(E91/J91)-F91*$B$1+G91^2/2*$B$1)/(G91*SQRT($B$1)))-G91*SQRT($B$1)),TRUE)-(E91*EXP((I91-F91)*$B$1))*_xlfn.NORM.S.DIST(-((LN(E91/J91)-F91*$B$1+G91^2/2*$B$1)/(G91*SQRT($B$1))),TRUE))),"reset: see AnalyticCheck"))))</f>
        <v/>
      </c>
    </row>
    <row r="92" spans="1:17" x14ac:dyDescent="0.35">
      <c r="A92" t="str">
        <f>IF(Trades!$A90="","",Trades!$A90)</f>
        <v/>
      </c>
      <c r="B92" t="str">
        <f>IF(A92="","",Trades!$C90)</f>
        <v/>
      </c>
      <c r="C92" t="str">
        <f>IF(A92="","",UPPER(Trades!$D90))</f>
        <v/>
      </c>
      <c r="D92" t="str">
        <f>IF(A92="","",Trades!$E90)</f>
        <v/>
      </c>
      <c r="E92" s="13" t="str">
        <f>IF(A92="","",INDEX(Market!$J:$J,MATCH(D92,Market!$A:$A,0)))</f>
        <v/>
      </c>
      <c r="F92" s="13" t="str">
        <f>IF(A92="","",INDEX(Market!$K:$K,MATCH(D92,Market!$A:$A,0)))</f>
        <v/>
      </c>
      <c r="G92" s="13" t="str">
        <f>IF(A92="","",IF(AND(C92="OPTION",Trades!$T90&lt;&gt;""),Trades!$T90,INDEX(Market!$L:$L,MATCH(D92,Market!$A:$A,0))))</f>
        <v/>
      </c>
      <c r="H92" s="13" t="str">
        <f>IF(A92="","",IF(ISNUMBER(IF(C92="OPTION",Trades!$S90,Trades!$I90)),(IF(C92="OPTION",Trades!$S90,Trades!$I90)-Config!$B$2)/365,VALUE(LEFT(IF(C92="OPTION",Trades!$S90,Trades!$I90),LEN(IF(C92="OPTION",Trades!$S90,Trades!$I90))-1))*CHOOSE(MATCH(RIGHT(IF(C92="OPTION",Trades!$S90,Trades!$I90),1),{"D","W","M","Y"},0),1/365,7/365,1/12,1)))</f>
        <v/>
      </c>
      <c r="I92" s="13" t="str">
        <f>IF(A92="","",IFERROR(LOOKUP(2,1/((Curve!$G$2:$G$200=IF(IFERROR(INDEX(Market!$M:$M,MATCH(D92,Market!$A:$A,0))&amp;"","")="",IFERROR(VLOOKUP("reporting_ccy",Config!$A:$B,2,FALSE),""),INDEX(Market!$M:$M,MATCH(D92,Market!$A:$A,0))))*(Curve!$F$2:$F$200&lt;=H92)),Curve!$E$2:$E$200),IFERROR(INDEX(Curve!$E:$E,MATCH(IF(IFERROR(INDEX(Market!$M:$M,MATCH(D92,Market!$A:$A,0))&amp;"","")="",IFERROR(VLOOKUP("reporting_ccy",Config!$A:$B,2,FALSE),""),INDEX(Market!$M:$M,MATCH(D92,Market!$A:$A,0))),Curve!$G:$G,0)),Curve!$E$2)))</f>
        <v/>
      </c>
      <c r="J92" s="13" t="str">
        <f>IF(A92="","",IF(C92="OPTION",IF(ISNUMBER(Trades!$R90),Trades!$R90,IF(RIGHT(Trades!$R90,1)="%",VALUE(SUBSTITUTE(Trades!$R90,"%",""))/100*E92,VALUE(Trades!$R90))),IF(UPPER(Trades!$M90)="AVERAGE",Trades!$N90,E92)))</f>
        <v/>
      </c>
      <c r="K92" s="13" t="str">
        <f>IF(A92="","",IF(OR(UPPER(Trades!$F90)="BUY",UPPER(Trades!$F90)="RECEIVE_EQUITY"),1,-1))</f>
        <v/>
      </c>
      <c r="L92" s="13" t="str">
        <f>IF(A92="","",Trades!$G90)</f>
        <v/>
      </c>
      <c r="M92" s="13" t="str">
        <f>IF(A92="","",(LN(E92/J92)+(I92-F92+G92^2/2)*H92)/(G92*SQRT(H92)))</f>
        <v/>
      </c>
      <c r="N92" s="14" t="str">
        <f>IF(A92="","",IF(C92="OPTION",K92*L92*IF(LEFT(UPPER(Trades!$Q90),1)="C",(E92*EXP(-F92*H92)*_xlfn.NORM.S.DIST(M92,TRUE)-J92*EXP(-I92*H92)*_xlfn.NORM.S.DIST(M92-G92*SQRT(H92),TRUE)),(J92*EXP(-I92*H92)*_xlfn.NORM.S.DIST(-(M92-G92*SQRT(H92)),TRUE)-E92*EXP(-F92*H92)*_xlfn.NORM.S.DIST(-M92,TRUE))),K92*L92*(E92-J92)+IF(UPPER(Trades!$M90)="AVERAGE",0,N(Trades!$O90))-K92*L92*J92*N(Trades!$L90)*H92*365/360*EXP(-I92*H92/2)))</f>
        <v/>
      </c>
      <c r="O92" s="14" t="str">
        <f>IF(A92="","",SUMIFS(LegMTM!$F:$F,LegMTM!$B:$B,A92,LegMTM!$C:$C,B92))</f>
        <v/>
      </c>
      <c r="P92" s="14" t="str">
        <f>IF(A92="","",N92-O92)</f>
        <v/>
      </c>
      <c r="Q92" s="14" t="str">
        <f>IF(A92="","",IF($B$1&gt;=H92,0,IF(C92="OPTION",IF(K92&gt;0,N92*EXP(I92*$B$1),0),IF(OR(UPPER(Trades!$J90)="",UPPER(Trades!$J90)="NONE"),IF(K92&gt;0,L92*((E92*EXP((I92-F92)*$B$1))*_xlfn.NORM.S.DIST(((LN(E92/J92)-F92*$B$1+G92^2/2*$B$1)/(G92*SQRT($B$1))),TRUE)-(J92*EXP(I92*$B$1))*_xlfn.NORM.S.DIST(((LN(E92/J92)-F92*$B$1+G92^2/2*$B$1)/(G92*SQRT($B$1)))-G92*SQRT($B$1),TRUE)),L92*((J92*EXP(I92*$B$1))*_xlfn.NORM.S.DIST(-(((LN(E92/J92)-F92*$B$1+G92^2/2*$B$1)/(G92*SQRT($B$1)))-G92*SQRT($B$1)),TRUE)-(E92*EXP((I92-F92)*$B$1))*_xlfn.NORM.S.DIST(-((LN(E92/J92)-F92*$B$1+G92^2/2*$B$1)/(G92*SQRT($B$1))),TRUE))),"reset: see AnalyticCheck"))))</f>
        <v/>
      </c>
    </row>
    <row r="93" spans="1:17" x14ac:dyDescent="0.35">
      <c r="A93" t="str">
        <f>IF(Trades!$A91="","",Trades!$A91)</f>
        <v/>
      </c>
      <c r="B93" t="str">
        <f>IF(A93="","",Trades!$C91)</f>
        <v/>
      </c>
      <c r="C93" t="str">
        <f>IF(A93="","",UPPER(Trades!$D91))</f>
        <v/>
      </c>
      <c r="D93" t="str">
        <f>IF(A93="","",Trades!$E91)</f>
        <v/>
      </c>
      <c r="E93" s="13" t="str">
        <f>IF(A93="","",INDEX(Market!$J:$J,MATCH(D93,Market!$A:$A,0)))</f>
        <v/>
      </c>
      <c r="F93" s="13" t="str">
        <f>IF(A93="","",INDEX(Market!$K:$K,MATCH(D93,Market!$A:$A,0)))</f>
        <v/>
      </c>
      <c r="G93" s="13" t="str">
        <f>IF(A93="","",IF(AND(C93="OPTION",Trades!$T91&lt;&gt;""),Trades!$T91,INDEX(Market!$L:$L,MATCH(D93,Market!$A:$A,0))))</f>
        <v/>
      </c>
      <c r="H93" s="13" t="str">
        <f>IF(A93="","",IF(ISNUMBER(IF(C93="OPTION",Trades!$S91,Trades!$I91)),(IF(C93="OPTION",Trades!$S91,Trades!$I91)-Config!$B$2)/365,VALUE(LEFT(IF(C93="OPTION",Trades!$S91,Trades!$I91),LEN(IF(C93="OPTION",Trades!$S91,Trades!$I91))-1))*CHOOSE(MATCH(RIGHT(IF(C93="OPTION",Trades!$S91,Trades!$I91),1),{"D","W","M","Y"},0),1/365,7/365,1/12,1)))</f>
        <v/>
      </c>
      <c r="I93" s="13" t="str">
        <f>IF(A93="","",IFERROR(LOOKUP(2,1/((Curve!$G$2:$G$200=IF(IFERROR(INDEX(Market!$M:$M,MATCH(D93,Market!$A:$A,0))&amp;"","")="",IFERROR(VLOOKUP("reporting_ccy",Config!$A:$B,2,FALSE),""),INDEX(Market!$M:$M,MATCH(D93,Market!$A:$A,0))))*(Curve!$F$2:$F$200&lt;=H93)),Curve!$E$2:$E$200),IFERROR(INDEX(Curve!$E:$E,MATCH(IF(IFERROR(INDEX(Market!$M:$M,MATCH(D93,Market!$A:$A,0))&amp;"","")="",IFERROR(VLOOKUP("reporting_ccy",Config!$A:$B,2,FALSE),""),INDEX(Market!$M:$M,MATCH(D93,Market!$A:$A,0))),Curve!$G:$G,0)),Curve!$E$2)))</f>
        <v/>
      </c>
      <c r="J93" s="13" t="str">
        <f>IF(A93="","",IF(C93="OPTION",IF(ISNUMBER(Trades!$R91),Trades!$R91,IF(RIGHT(Trades!$R91,1)="%",VALUE(SUBSTITUTE(Trades!$R91,"%",""))/100*E93,VALUE(Trades!$R91))),IF(UPPER(Trades!$M91)="AVERAGE",Trades!$N91,E93)))</f>
        <v/>
      </c>
      <c r="K93" s="13" t="str">
        <f>IF(A93="","",IF(OR(UPPER(Trades!$F91)="BUY",UPPER(Trades!$F91)="RECEIVE_EQUITY"),1,-1))</f>
        <v/>
      </c>
      <c r="L93" s="13" t="str">
        <f>IF(A93="","",Trades!$G91)</f>
        <v/>
      </c>
      <c r="M93" s="13" t="str">
        <f>IF(A93="","",(LN(E93/J93)+(I93-F93+G93^2/2)*H93)/(G93*SQRT(H93)))</f>
        <v/>
      </c>
      <c r="N93" s="14" t="str">
        <f>IF(A93="","",IF(C93="OPTION",K93*L93*IF(LEFT(UPPER(Trades!$Q91),1)="C",(E93*EXP(-F93*H93)*_xlfn.NORM.S.DIST(M93,TRUE)-J93*EXP(-I93*H93)*_xlfn.NORM.S.DIST(M93-G93*SQRT(H93),TRUE)),(J93*EXP(-I93*H93)*_xlfn.NORM.S.DIST(-(M93-G93*SQRT(H93)),TRUE)-E93*EXP(-F93*H93)*_xlfn.NORM.S.DIST(-M93,TRUE))),K93*L93*(E93-J93)+IF(UPPER(Trades!$M91)="AVERAGE",0,N(Trades!$O91))-K93*L93*J93*N(Trades!$L91)*H93*365/360*EXP(-I93*H93/2)))</f>
        <v/>
      </c>
      <c r="O93" s="14" t="str">
        <f>IF(A93="","",SUMIFS(LegMTM!$F:$F,LegMTM!$B:$B,A93,LegMTM!$C:$C,B93))</f>
        <v/>
      </c>
      <c r="P93" s="14" t="str">
        <f>IF(A93="","",N93-O93)</f>
        <v/>
      </c>
      <c r="Q93" s="14" t="str">
        <f>IF(A93="","",IF($B$1&gt;=H93,0,IF(C93="OPTION",IF(K93&gt;0,N93*EXP(I93*$B$1),0),IF(OR(UPPER(Trades!$J91)="",UPPER(Trades!$J91)="NONE"),IF(K93&gt;0,L93*((E93*EXP((I93-F93)*$B$1))*_xlfn.NORM.S.DIST(((LN(E93/J93)-F93*$B$1+G93^2/2*$B$1)/(G93*SQRT($B$1))),TRUE)-(J93*EXP(I93*$B$1))*_xlfn.NORM.S.DIST(((LN(E93/J93)-F93*$B$1+G93^2/2*$B$1)/(G93*SQRT($B$1)))-G93*SQRT($B$1),TRUE)),L93*((J93*EXP(I93*$B$1))*_xlfn.NORM.S.DIST(-(((LN(E93/J93)-F93*$B$1+G93^2/2*$B$1)/(G93*SQRT($B$1)))-G93*SQRT($B$1)),TRUE)-(E93*EXP((I93-F93)*$B$1))*_xlfn.NORM.S.DIST(-((LN(E93/J93)-F93*$B$1+G93^2/2*$B$1)/(G93*SQRT($B$1))),TRUE))),"reset: see AnalyticCheck"))))</f>
        <v/>
      </c>
    </row>
    <row r="94" spans="1:17" x14ac:dyDescent="0.35">
      <c r="A94" t="str">
        <f>IF(Trades!$A92="","",Trades!$A92)</f>
        <v/>
      </c>
      <c r="B94" t="str">
        <f>IF(A94="","",Trades!$C92)</f>
        <v/>
      </c>
      <c r="C94" t="str">
        <f>IF(A94="","",UPPER(Trades!$D92))</f>
        <v/>
      </c>
      <c r="D94" t="str">
        <f>IF(A94="","",Trades!$E92)</f>
        <v/>
      </c>
      <c r="E94" s="13" t="str">
        <f>IF(A94="","",INDEX(Market!$J:$J,MATCH(D94,Market!$A:$A,0)))</f>
        <v/>
      </c>
      <c r="F94" s="13" t="str">
        <f>IF(A94="","",INDEX(Market!$K:$K,MATCH(D94,Market!$A:$A,0)))</f>
        <v/>
      </c>
      <c r="G94" s="13" t="str">
        <f>IF(A94="","",IF(AND(C94="OPTION",Trades!$T92&lt;&gt;""),Trades!$T92,INDEX(Market!$L:$L,MATCH(D94,Market!$A:$A,0))))</f>
        <v/>
      </c>
      <c r="H94" s="13" t="str">
        <f>IF(A94="","",IF(ISNUMBER(IF(C94="OPTION",Trades!$S92,Trades!$I92)),(IF(C94="OPTION",Trades!$S92,Trades!$I92)-Config!$B$2)/365,VALUE(LEFT(IF(C94="OPTION",Trades!$S92,Trades!$I92),LEN(IF(C94="OPTION",Trades!$S92,Trades!$I92))-1))*CHOOSE(MATCH(RIGHT(IF(C94="OPTION",Trades!$S92,Trades!$I92),1),{"D","W","M","Y"},0),1/365,7/365,1/12,1)))</f>
        <v/>
      </c>
      <c r="I94" s="13" t="str">
        <f>IF(A94="","",IFERROR(LOOKUP(2,1/((Curve!$G$2:$G$200=IF(IFERROR(INDEX(Market!$M:$M,MATCH(D94,Market!$A:$A,0))&amp;"","")="",IFERROR(VLOOKUP("reporting_ccy",Config!$A:$B,2,FALSE),""),INDEX(Market!$M:$M,MATCH(D94,Market!$A:$A,0))))*(Curve!$F$2:$F$200&lt;=H94)),Curve!$E$2:$E$200),IFERROR(INDEX(Curve!$E:$E,MATCH(IF(IFERROR(INDEX(Market!$M:$M,MATCH(D94,Market!$A:$A,0))&amp;"","")="",IFERROR(VLOOKUP("reporting_ccy",Config!$A:$B,2,FALSE),""),INDEX(Market!$M:$M,MATCH(D94,Market!$A:$A,0))),Curve!$G:$G,0)),Curve!$E$2)))</f>
        <v/>
      </c>
      <c r="J94" s="13" t="str">
        <f>IF(A94="","",IF(C94="OPTION",IF(ISNUMBER(Trades!$R92),Trades!$R92,IF(RIGHT(Trades!$R92,1)="%",VALUE(SUBSTITUTE(Trades!$R92,"%",""))/100*E94,VALUE(Trades!$R92))),IF(UPPER(Trades!$M92)="AVERAGE",Trades!$N92,E94)))</f>
        <v/>
      </c>
      <c r="K94" s="13" t="str">
        <f>IF(A94="","",IF(OR(UPPER(Trades!$F92)="BUY",UPPER(Trades!$F92)="RECEIVE_EQUITY"),1,-1))</f>
        <v/>
      </c>
      <c r="L94" s="13" t="str">
        <f>IF(A94="","",Trades!$G92)</f>
        <v/>
      </c>
      <c r="M94" s="13" t="str">
        <f>IF(A94="","",(LN(E94/J94)+(I94-F94+G94^2/2)*H94)/(G94*SQRT(H94)))</f>
        <v/>
      </c>
      <c r="N94" s="14" t="str">
        <f>IF(A94="","",IF(C94="OPTION",K94*L94*IF(LEFT(UPPER(Trades!$Q92),1)="C",(E94*EXP(-F94*H94)*_xlfn.NORM.S.DIST(M94,TRUE)-J94*EXP(-I94*H94)*_xlfn.NORM.S.DIST(M94-G94*SQRT(H94),TRUE)),(J94*EXP(-I94*H94)*_xlfn.NORM.S.DIST(-(M94-G94*SQRT(H94)),TRUE)-E94*EXP(-F94*H94)*_xlfn.NORM.S.DIST(-M94,TRUE))),K94*L94*(E94-J94)+IF(UPPER(Trades!$M92)="AVERAGE",0,N(Trades!$O92))-K94*L94*J94*N(Trades!$L92)*H94*365/360*EXP(-I94*H94/2)))</f>
        <v/>
      </c>
      <c r="O94" s="14" t="str">
        <f>IF(A94="","",SUMIFS(LegMTM!$F:$F,LegMTM!$B:$B,A94,LegMTM!$C:$C,B94))</f>
        <v/>
      </c>
      <c r="P94" s="14" t="str">
        <f>IF(A94="","",N94-O94)</f>
        <v/>
      </c>
      <c r="Q94" s="14" t="str">
        <f>IF(A94="","",IF($B$1&gt;=H94,0,IF(C94="OPTION",IF(K94&gt;0,N94*EXP(I94*$B$1),0),IF(OR(UPPER(Trades!$J92)="",UPPER(Trades!$J92)="NONE"),IF(K94&gt;0,L94*((E94*EXP((I94-F94)*$B$1))*_xlfn.NORM.S.DIST(((LN(E94/J94)-F94*$B$1+G94^2/2*$B$1)/(G94*SQRT($B$1))),TRUE)-(J94*EXP(I94*$B$1))*_xlfn.NORM.S.DIST(((LN(E94/J94)-F94*$B$1+G94^2/2*$B$1)/(G94*SQRT($B$1)))-G94*SQRT($B$1),TRUE)),L94*((J94*EXP(I94*$B$1))*_xlfn.NORM.S.DIST(-(((LN(E94/J94)-F94*$B$1+G94^2/2*$B$1)/(G94*SQRT($B$1)))-G94*SQRT($B$1)),TRUE)-(E94*EXP((I94-F94)*$B$1))*_xlfn.NORM.S.DIST(-((LN(E94/J94)-F94*$B$1+G94^2/2*$B$1)/(G94*SQRT($B$1))),TRUE))),"reset: see AnalyticCheck"))))</f>
        <v/>
      </c>
    </row>
    <row r="95" spans="1:17" x14ac:dyDescent="0.35">
      <c r="A95" t="str">
        <f>IF(Trades!$A93="","",Trades!$A93)</f>
        <v/>
      </c>
      <c r="B95" t="str">
        <f>IF(A95="","",Trades!$C93)</f>
        <v/>
      </c>
      <c r="C95" t="str">
        <f>IF(A95="","",UPPER(Trades!$D93))</f>
        <v/>
      </c>
      <c r="D95" t="str">
        <f>IF(A95="","",Trades!$E93)</f>
        <v/>
      </c>
      <c r="E95" s="13" t="str">
        <f>IF(A95="","",INDEX(Market!$J:$J,MATCH(D95,Market!$A:$A,0)))</f>
        <v/>
      </c>
      <c r="F95" s="13" t="str">
        <f>IF(A95="","",INDEX(Market!$K:$K,MATCH(D95,Market!$A:$A,0)))</f>
        <v/>
      </c>
      <c r="G95" s="13" t="str">
        <f>IF(A95="","",IF(AND(C95="OPTION",Trades!$T93&lt;&gt;""),Trades!$T93,INDEX(Market!$L:$L,MATCH(D95,Market!$A:$A,0))))</f>
        <v/>
      </c>
      <c r="H95" s="13" t="str">
        <f>IF(A95="","",IF(ISNUMBER(IF(C95="OPTION",Trades!$S93,Trades!$I93)),(IF(C95="OPTION",Trades!$S93,Trades!$I93)-Config!$B$2)/365,VALUE(LEFT(IF(C95="OPTION",Trades!$S93,Trades!$I93),LEN(IF(C95="OPTION",Trades!$S93,Trades!$I93))-1))*CHOOSE(MATCH(RIGHT(IF(C95="OPTION",Trades!$S93,Trades!$I93),1),{"D","W","M","Y"},0),1/365,7/365,1/12,1)))</f>
        <v/>
      </c>
      <c r="I95" s="13" t="str">
        <f>IF(A95="","",IFERROR(LOOKUP(2,1/((Curve!$G$2:$G$200=IF(IFERROR(INDEX(Market!$M:$M,MATCH(D95,Market!$A:$A,0))&amp;"","")="",IFERROR(VLOOKUP("reporting_ccy",Config!$A:$B,2,FALSE),""),INDEX(Market!$M:$M,MATCH(D95,Market!$A:$A,0))))*(Curve!$F$2:$F$200&lt;=H95)),Curve!$E$2:$E$200),IFERROR(INDEX(Curve!$E:$E,MATCH(IF(IFERROR(INDEX(Market!$M:$M,MATCH(D95,Market!$A:$A,0))&amp;"","")="",IFERROR(VLOOKUP("reporting_ccy",Config!$A:$B,2,FALSE),""),INDEX(Market!$M:$M,MATCH(D95,Market!$A:$A,0))),Curve!$G:$G,0)),Curve!$E$2)))</f>
        <v/>
      </c>
      <c r="J95" s="13" t="str">
        <f>IF(A95="","",IF(C95="OPTION",IF(ISNUMBER(Trades!$R93),Trades!$R93,IF(RIGHT(Trades!$R93,1)="%",VALUE(SUBSTITUTE(Trades!$R93,"%",""))/100*E95,VALUE(Trades!$R93))),IF(UPPER(Trades!$M93)="AVERAGE",Trades!$N93,E95)))</f>
        <v/>
      </c>
      <c r="K95" s="13" t="str">
        <f>IF(A95="","",IF(OR(UPPER(Trades!$F93)="BUY",UPPER(Trades!$F93)="RECEIVE_EQUITY"),1,-1))</f>
        <v/>
      </c>
      <c r="L95" s="13" t="str">
        <f>IF(A95="","",Trades!$G93)</f>
        <v/>
      </c>
      <c r="M95" s="13" t="str">
        <f>IF(A95="","",(LN(E95/J95)+(I95-F95+G95^2/2)*H95)/(G95*SQRT(H95)))</f>
        <v/>
      </c>
      <c r="N95" s="14" t="str">
        <f>IF(A95="","",IF(C95="OPTION",K95*L95*IF(LEFT(UPPER(Trades!$Q93),1)="C",(E95*EXP(-F95*H95)*_xlfn.NORM.S.DIST(M95,TRUE)-J95*EXP(-I95*H95)*_xlfn.NORM.S.DIST(M95-G95*SQRT(H95),TRUE)),(J95*EXP(-I95*H95)*_xlfn.NORM.S.DIST(-(M95-G95*SQRT(H95)),TRUE)-E95*EXP(-F95*H95)*_xlfn.NORM.S.DIST(-M95,TRUE))),K95*L95*(E95-J95)+IF(UPPER(Trades!$M93)="AVERAGE",0,N(Trades!$O93))-K95*L95*J95*N(Trades!$L93)*H95*365/360*EXP(-I95*H95/2)))</f>
        <v/>
      </c>
      <c r="O95" s="14" t="str">
        <f>IF(A95="","",SUMIFS(LegMTM!$F:$F,LegMTM!$B:$B,A95,LegMTM!$C:$C,B95))</f>
        <v/>
      </c>
      <c r="P95" s="14" t="str">
        <f>IF(A95="","",N95-O95)</f>
        <v/>
      </c>
      <c r="Q95" s="14" t="str">
        <f>IF(A95="","",IF($B$1&gt;=H95,0,IF(C95="OPTION",IF(K95&gt;0,N95*EXP(I95*$B$1),0),IF(OR(UPPER(Trades!$J93)="",UPPER(Trades!$J93)="NONE"),IF(K95&gt;0,L95*((E95*EXP((I95-F95)*$B$1))*_xlfn.NORM.S.DIST(((LN(E95/J95)-F95*$B$1+G95^2/2*$B$1)/(G95*SQRT($B$1))),TRUE)-(J95*EXP(I95*$B$1))*_xlfn.NORM.S.DIST(((LN(E95/J95)-F95*$B$1+G95^2/2*$B$1)/(G95*SQRT($B$1)))-G95*SQRT($B$1),TRUE)),L95*((J95*EXP(I95*$B$1))*_xlfn.NORM.S.DIST(-(((LN(E95/J95)-F95*$B$1+G95^2/2*$B$1)/(G95*SQRT($B$1)))-G95*SQRT($B$1)),TRUE)-(E95*EXP((I95-F95)*$B$1))*_xlfn.NORM.S.DIST(-((LN(E95/J95)-F95*$B$1+G95^2/2*$B$1)/(G95*SQRT($B$1))),TRUE))),"reset: see AnalyticCheck"))))</f>
        <v/>
      </c>
    </row>
    <row r="96" spans="1:17" x14ac:dyDescent="0.35">
      <c r="A96" t="str">
        <f>IF(Trades!$A94="","",Trades!$A94)</f>
        <v/>
      </c>
      <c r="B96" t="str">
        <f>IF(A96="","",Trades!$C94)</f>
        <v/>
      </c>
      <c r="C96" t="str">
        <f>IF(A96="","",UPPER(Trades!$D94))</f>
        <v/>
      </c>
      <c r="D96" t="str">
        <f>IF(A96="","",Trades!$E94)</f>
        <v/>
      </c>
      <c r="E96" s="13" t="str">
        <f>IF(A96="","",INDEX(Market!$J:$J,MATCH(D96,Market!$A:$A,0)))</f>
        <v/>
      </c>
      <c r="F96" s="13" t="str">
        <f>IF(A96="","",INDEX(Market!$K:$K,MATCH(D96,Market!$A:$A,0)))</f>
        <v/>
      </c>
      <c r="G96" s="13" t="str">
        <f>IF(A96="","",IF(AND(C96="OPTION",Trades!$T94&lt;&gt;""),Trades!$T94,INDEX(Market!$L:$L,MATCH(D96,Market!$A:$A,0))))</f>
        <v/>
      </c>
      <c r="H96" s="13" t="str">
        <f>IF(A96="","",IF(ISNUMBER(IF(C96="OPTION",Trades!$S94,Trades!$I94)),(IF(C96="OPTION",Trades!$S94,Trades!$I94)-Config!$B$2)/365,VALUE(LEFT(IF(C96="OPTION",Trades!$S94,Trades!$I94),LEN(IF(C96="OPTION",Trades!$S94,Trades!$I94))-1))*CHOOSE(MATCH(RIGHT(IF(C96="OPTION",Trades!$S94,Trades!$I94),1),{"D","W","M","Y"},0),1/365,7/365,1/12,1)))</f>
        <v/>
      </c>
      <c r="I96" s="13" t="str">
        <f>IF(A96="","",IFERROR(LOOKUP(2,1/((Curve!$G$2:$G$200=IF(IFERROR(INDEX(Market!$M:$M,MATCH(D96,Market!$A:$A,0))&amp;"","")="",IFERROR(VLOOKUP("reporting_ccy",Config!$A:$B,2,FALSE),""),INDEX(Market!$M:$M,MATCH(D96,Market!$A:$A,0))))*(Curve!$F$2:$F$200&lt;=H96)),Curve!$E$2:$E$200),IFERROR(INDEX(Curve!$E:$E,MATCH(IF(IFERROR(INDEX(Market!$M:$M,MATCH(D96,Market!$A:$A,0))&amp;"","")="",IFERROR(VLOOKUP("reporting_ccy",Config!$A:$B,2,FALSE),""),INDEX(Market!$M:$M,MATCH(D96,Market!$A:$A,0))),Curve!$G:$G,0)),Curve!$E$2)))</f>
        <v/>
      </c>
      <c r="J96" s="13" t="str">
        <f>IF(A96="","",IF(C96="OPTION",IF(ISNUMBER(Trades!$R94),Trades!$R94,IF(RIGHT(Trades!$R94,1)="%",VALUE(SUBSTITUTE(Trades!$R94,"%",""))/100*E96,VALUE(Trades!$R94))),IF(UPPER(Trades!$M94)="AVERAGE",Trades!$N94,E96)))</f>
        <v/>
      </c>
      <c r="K96" s="13" t="str">
        <f>IF(A96="","",IF(OR(UPPER(Trades!$F94)="BUY",UPPER(Trades!$F94)="RECEIVE_EQUITY"),1,-1))</f>
        <v/>
      </c>
      <c r="L96" s="13" t="str">
        <f>IF(A96="","",Trades!$G94)</f>
        <v/>
      </c>
      <c r="M96" s="13" t="str">
        <f>IF(A96="","",(LN(E96/J96)+(I96-F96+G96^2/2)*H96)/(G96*SQRT(H96)))</f>
        <v/>
      </c>
      <c r="N96" s="14" t="str">
        <f>IF(A96="","",IF(C96="OPTION",K96*L96*IF(LEFT(UPPER(Trades!$Q94),1)="C",(E96*EXP(-F96*H96)*_xlfn.NORM.S.DIST(M96,TRUE)-J96*EXP(-I96*H96)*_xlfn.NORM.S.DIST(M96-G96*SQRT(H96),TRUE)),(J96*EXP(-I96*H96)*_xlfn.NORM.S.DIST(-(M96-G96*SQRT(H96)),TRUE)-E96*EXP(-F96*H96)*_xlfn.NORM.S.DIST(-M96,TRUE))),K96*L96*(E96-J96)+IF(UPPER(Trades!$M94)="AVERAGE",0,N(Trades!$O94))-K96*L96*J96*N(Trades!$L94)*H96*365/360*EXP(-I96*H96/2)))</f>
        <v/>
      </c>
      <c r="O96" s="14" t="str">
        <f>IF(A96="","",SUMIFS(LegMTM!$F:$F,LegMTM!$B:$B,A96,LegMTM!$C:$C,B96))</f>
        <v/>
      </c>
      <c r="P96" s="14" t="str">
        <f>IF(A96="","",N96-O96)</f>
        <v/>
      </c>
      <c r="Q96" s="14" t="str">
        <f>IF(A96="","",IF($B$1&gt;=H96,0,IF(C96="OPTION",IF(K96&gt;0,N96*EXP(I96*$B$1),0),IF(OR(UPPER(Trades!$J94)="",UPPER(Trades!$J94)="NONE"),IF(K96&gt;0,L96*((E96*EXP((I96-F96)*$B$1))*_xlfn.NORM.S.DIST(((LN(E96/J96)-F96*$B$1+G96^2/2*$B$1)/(G96*SQRT($B$1))),TRUE)-(J96*EXP(I96*$B$1))*_xlfn.NORM.S.DIST(((LN(E96/J96)-F96*$B$1+G96^2/2*$B$1)/(G96*SQRT($B$1)))-G96*SQRT($B$1),TRUE)),L96*((J96*EXP(I96*$B$1))*_xlfn.NORM.S.DIST(-(((LN(E96/J96)-F96*$B$1+G96^2/2*$B$1)/(G96*SQRT($B$1)))-G96*SQRT($B$1)),TRUE)-(E96*EXP((I96-F96)*$B$1))*_xlfn.NORM.S.DIST(-((LN(E96/J96)-F96*$B$1+G96^2/2*$B$1)/(G96*SQRT($B$1))),TRUE))),"reset: see AnalyticCheck"))))</f>
        <v/>
      </c>
    </row>
    <row r="97" spans="1:17" x14ac:dyDescent="0.35">
      <c r="A97" t="str">
        <f>IF(Trades!$A95="","",Trades!$A95)</f>
        <v/>
      </c>
      <c r="B97" t="str">
        <f>IF(A97="","",Trades!$C95)</f>
        <v/>
      </c>
      <c r="C97" t="str">
        <f>IF(A97="","",UPPER(Trades!$D95))</f>
        <v/>
      </c>
      <c r="D97" t="str">
        <f>IF(A97="","",Trades!$E95)</f>
        <v/>
      </c>
      <c r="E97" s="13" t="str">
        <f>IF(A97="","",INDEX(Market!$J:$J,MATCH(D97,Market!$A:$A,0)))</f>
        <v/>
      </c>
      <c r="F97" s="13" t="str">
        <f>IF(A97="","",INDEX(Market!$K:$K,MATCH(D97,Market!$A:$A,0)))</f>
        <v/>
      </c>
      <c r="G97" s="13" t="str">
        <f>IF(A97="","",IF(AND(C97="OPTION",Trades!$T95&lt;&gt;""),Trades!$T95,INDEX(Market!$L:$L,MATCH(D97,Market!$A:$A,0))))</f>
        <v/>
      </c>
      <c r="H97" s="13" t="str">
        <f>IF(A97="","",IF(ISNUMBER(IF(C97="OPTION",Trades!$S95,Trades!$I95)),(IF(C97="OPTION",Trades!$S95,Trades!$I95)-Config!$B$2)/365,VALUE(LEFT(IF(C97="OPTION",Trades!$S95,Trades!$I95),LEN(IF(C97="OPTION",Trades!$S95,Trades!$I95))-1))*CHOOSE(MATCH(RIGHT(IF(C97="OPTION",Trades!$S95,Trades!$I95),1),{"D","W","M","Y"},0),1/365,7/365,1/12,1)))</f>
        <v/>
      </c>
      <c r="I97" s="13" t="str">
        <f>IF(A97="","",IFERROR(LOOKUP(2,1/((Curve!$G$2:$G$200=IF(IFERROR(INDEX(Market!$M:$M,MATCH(D97,Market!$A:$A,0))&amp;"","")="",IFERROR(VLOOKUP("reporting_ccy",Config!$A:$B,2,FALSE),""),INDEX(Market!$M:$M,MATCH(D97,Market!$A:$A,0))))*(Curve!$F$2:$F$200&lt;=H97)),Curve!$E$2:$E$200),IFERROR(INDEX(Curve!$E:$E,MATCH(IF(IFERROR(INDEX(Market!$M:$M,MATCH(D97,Market!$A:$A,0))&amp;"","")="",IFERROR(VLOOKUP("reporting_ccy",Config!$A:$B,2,FALSE),""),INDEX(Market!$M:$M,MATCH(D97,Market!$A:$A,0))),Curve!$G:$G,0)),Curve!$E$2)))</f>
        <v/>
      </c>
      <c r="J97" s="13" t="str">
        <f>IF(A97="","",IF(C97="OPTION",IF(ISNUMBER(Trades!$R95),Trades!$R95,IF(RIGHT(Trades!$R95,1)="%",VALUE(SUBSTITUTE(Trades!$R95,"%",""))/100*E97,VALUE(Trades!$R95))),IF(UPPER(Trades!$M95)="AVERAGE",Trades!$N95,E97)))</f>
        <v/>
      </c>
      <c r="K97" s="13" t="str">
        <f>IF(A97="","",IF(OR(UPPER(Trades!$F95)="BUY",UPPER(Trades!$F95)="RECEIVE_EQUITY"),1,-1))</f>
        <v/>
      </c>
      <c r="L97" s="13" t="str">
        <f>IF(A97="","",Trades!$G95)</f>
        <v/>
      </c>
      <c r="M97" s="13" t="str">
        <f>IF(A97="","",(LN(E97/J97)+(I97-F97+G97^2/2)*H97)/(G97*SQRT(H97)))</f>
        <v/>
      </c>
      <c r="N97" s="14" t="str">
        <f>IF(A97="","",IF(C97="OPTION",K97*L97*IF(LEFT(UPPER(Trades!$Q95),1)="C",(E97*EXP(-F97*H97)*_xlfn.NORM.S.DIST(M97,TRUE)-J97*EXP(-I97*H97)*_xlfn.NORM.S.DIST(M97-G97*SQRT(H97),TRUE)),(J97*EXP(-I97*H97)*_xlfn.NORM.S.DIST(-(M97-G97*SQRT(H97)),TRUE)-E97*EXP(-F97*H97)*_xlfn.NORM.S.DIST(-M97,TRUE))),K97*L97*(E97-J97)+IF(UPPER(Trades!$M95)="AVERAGE",0,N(Trades!$O95))-K97*L97*J97*N(Trades!$L95)*H97*365/360*EXP(-I97*H97/2)))</f>
        <v/>
      </c>
      <c r="O97" s="14" t="str">
        <f>IF(A97="","",SUMIFS(LegMTM!$F:$F,LegMTM!$B:$B,A97,LegMTM!$C:$C,B97))</f>
        <v/>
      </c>
      <c r="P97" s="14" t="str">
        <f>IF(A97="","",N97-O97)</f>
        <v/>
      </c>
      <c r="Q97" s="14" t="str">
        <f>IF(A97="","",IF($B$1&gt;=H97,0,IF(C97="OPTION",IF(K97&gt;0,N97*EXP(I97*$B$1),0),IF(OR(UPPER(Trades!$J95)="",UPPER(Trades!$J95)="NONE"),IF(K97&gt;0,L97*((E97*EXP((I97-F97)*$B$1))*_xlfn.NORM.S.DIST(((LN(E97/J97)-F97*$B$1+G97^2/2*$B$1)/(G97*SQRT($B$1))),TRUE)-(J97*EXP(I97*$B$1))*_xlfn.NORM.S.DIST(((LN(E97/J97)-F97*$B$1+G97^2/2*$B$1)/(G97*SQRT($B$1)))-G97*SQRT($B$1),TRUE)),L97*((J97*EXP(I97*$B$1))*_xlfn.NORM.S.DIST(-(((LN(E97/J97)-F97*$B$1+G97^2/2*$B$1)/(G97*SQRT($B$1)))-G97*SQRT($B$1)),TRUE)-(E97*EXP((I97-F97)*$B$1))*_xlfn.NORM.S.DIST(-((LN(E97/J97)-F97*$B$1+G97^2/2*$B$1)/(G97*SQRT($B$1))),TRUE))),"reset: see AnalyticCheck"))))</f>
        <v/>
      </c>
    </row>
    <row r="98" spans="1:17" x14ac:dyDescent="0.35">
      <c r="A98" t="str">
        <f>IF(Trades!$A96="","",Trades!$A96)</f>
        <v/>
      </c>
      <c r="B98" t="str">
        <f>IF(A98="","",Trades!$C96)</f>
        <v/>
      </c>
      <c r="C98" t="str">
        <f>IF(A98="","",UPPER(Trades!$D96))</f>
        <v/>
      </c>
      <c r="D98" t="str">
        <f>IF(A98="","",Trades!$E96)</f>
        <v/>
      </c>
      <c r="E98" s="13" t="str">
        <f>IF(A98="","",INDEX(Market!$J:$J,MATCH(D98,Market!$A:$A,0)))</f>
        <v/>
      </c>
      <c r="F98" s="13" t="str">
        <f>IF(A98="","",INDEX(Market!$K:$K,MATCH(D98,Market!$A:$A,0)))</f>
        <v/>
      </c>
      <c r="G98" s="13" t="str">
        <f>IF(A98="","",IF(AND(C98="OPTION",Trades!$T96&lt;&gt;""),Trades!$T96,INDEX(Market!$L:$L,MATCH(D98,Market!$A:$A,0))))</f>
        <v/>
      </c>
      <c r="H98" s="13" t="str">
        <f>IF(A98="","",IF(ISNUMBER(IF(C98="OPTION",Trades!$S96,Trades!$I96)),(IF(C98="OPTION",Trades!$S96,Trades!$I96)-Config!$B$2)/365,VALUE(LEFT(IF(C98="OPTION",Trades!$S96,Trades!$I96),LEN(IF(C98="OPTION",Trades!$S96,Trades!$I96))-1))*CHOOSE(MATCH(RIGHT(IF(C98="OPTION",Trades!$S96,Trades!$I96),1),{"D","W","M","Y"},0),1/365,7/365,1/12,1)))</f>
        <v/>
      </c>
      <c r="I98" s="13" t="str">
        <f>IF(A98="","",IFERROR(LOOKUP(2,1/((Curve!$G$2:$G$200=IF(IFERROR(INDEX(Market!$M:$M,MATCH(D98,Market!$A:$A,0))&amp;"","")="",IFERROR(VLOOKUP("reporting_ccy",Config!$A:$B,2,FALSE),""),INDEX(Market!$M:$M,MATCH(D98,Market!$A:$A,0))))*(Curve!$F$2:$F$200&lt;=H98)),Curve!$E$2:$E$200),IFERROR(INDEX(Curve!$E:$E,MATCH(IF(IFERROR(INDEX(Market!$M:$M,MATCH(D98,Market!$A:$A,0))&amp;"","")="",IFERROR(VLOOKUP("reporting_ccy",Config!$A:$B,2,FALSE),""),INDEX(Market!$M:$M,MATCH(D98,Market!$A:$A,0))),Curve!$G:$G,0)),Curve!$E$2)))</f>
        <v/>
      </c>
      <c r="J98" s="13" t="str">
        <f>IF(A98="","",IF(C98="OPTION",IF(ISNUMBER(Trades!$R96),Trades!$R96,IF(RIGHT(Trades!$R96,1)="%",VALUE(SUBSTITUTE(Trades!$R96,"%",""))/100*E98,VALUE(Trades!$R96))),IF(UPPER(Trades!$M96)="AVERAGE",Trades!$N96,E98)))</f>
        <v/>
      </c>
      <c r="K98" s="13" t="str">
        <f>IF(A98="","",IF(OR(UPPER(Trades!$F96)="BUY",UPPER(Trades!$F96)="RECEIVE_EQUITY"),1,-1))</f>
        <v/>
      </c>
      <c r="L98" s="13" t="str">
        <f>IF(A98="","",Trades!$G96)</f>
        <v/>
      </c>
      <c r="M98" s="13" t="str">
        <f>IF(A98="","",(LN(E98/J98)+(I98-F98+G98^2/2)*H98)/(G98*SQRT(H98)))</f>
        <v/>
      </c>
      <c r="N98" s="14" t="str">
        <f>IF(A98="","",IF(C98="OPTION",K98*L98*IF(LEFT(UPPER(Trades!$Q96),1)="C",(E98*EXP(-F98*H98)*_xlfn.NORM.S.DIST(M98,TRUE)-J98*EXP(-I98*H98)*_xlfn.NORM.S.DIST(M98-G98*SQRT(H98),TRUE)),(J98*EXP(-I98*H98)*_xlfn.NORM.S.DIST(-(M98-G98*SQRT(H98)),TRUE)-E98*EXP(-F98*H98)*_xlfn.NORM.S.DIST(-M98,TRUE))),K98*L98*(E98-J98)+IF(UPPER(Trades!$M96)="AVERAGE",0,N(Trades!$O96))-K98*L98*J98*N(Trades!$L96)*H98*365/360*EXP(-I98*H98/2)))</f>
        <v/>
      </c>
      <c r="O98" s="14" t="str">
        <f>IF(A98="","",SUMIFS(LegMTM!$F:$F,LegMTM!$B:$B,A98,LegMTM!$C:$C,B98))</f>
        <v/>
      </c>
      <c r="P98" s="14" t="str">
        <f>IF(A98="","",N98-O98)</f>
        <v/>
      </c>
      <c r="Q98" s="14" t="str">
        <f>IF(A98="","",IF($B$1&gt;=H98,0,IF(C98="OPTION",IF(K98&gt;0,N98*EXP(I98*$B$1),0),IF(OR(UPPER(Trades!$J96)="",UPPER(Trades!$J96)="NONE"),IF(K98&gt;0,L98*((E98*EXP((I98-F98)*$B$1))*_xlfn.NORM.S.DIST(((LN(E98/J98)-F98*$B$1+G98^2/2*$B$1)/(G98*SQRT($B$1))),TRUE)-(J98*EXP(I98*$B$1))*_xlfn.NORM.S.DIST(((LN(E98/J98)-F98*$B$1+G98^2/2*$B$1)/(G98*SQRT($B$1)))-G98*SQRT($B$1),TRUE)),L98*((J98*EXP(I98*$B$1))*_xlfn.NORM.S.DIST(-(((LN(E98/J98)-F98*$B$1+G98^2/2*$B$1)/(G98*SQRT($B$1)))-G98*SQRT($B$1)),TRUE)-(E98*EXP((I98-F98)*$B$1))*_xlfn.NORM.S.DIST(-((LN(E98/J98)-F98*$B$1+G98^2/2*$B$1)/(G98*SQRT($B$1))),TRUE))),"reset: see AnalyticCheck"))))</f>
        <v/>
      </c>
    </row>
    <row r="99" spans="1:17" x14ac:dyDescent="0.35">
      <c r="A99" t="str">
        <f>IF(Trades!$A97="","",Trades!$A97)</f>
        <v/>
      </c>
      <c r="B99" t="str">
        <f>IF(A99="","",Trades!$C97)</f>
        <v/>
      </c>
      <c r="C99" t="str">
        <f>IF(A99="","",UPPER(Trades!$D97))</f>
        <v/>
      </c>
      <c r="D99" t="str">
        <f>IF(A99="","",Trades!$E97)</f>
        <v/>
      </c>
      <c r="E99" s="13" t="str">
        <f>IF(A99="","",INDEX(Market!$J:$J,MATCH(D99,Market!$A:$A,0)))</f>
        <v/>
      </c>
      <c r="F99" s="13" t="str">
        <f>IF(A99="","",INDEX(Market!$K:$K,MATCH(D99,Market!$A:$A,0)))</f>
        <v/>
      </c>
      <c r="G99" s="13" t="str">
        <f>IF(A99="","",IF(AND(C99="OPTION",Trades!$T97&lt;&gt;""),Trades!$T97,INDEX(Market!$L:$L,MATCH(D99,Market!$A:$A,0))))</f>
        <v/>
      </c>
      <c r="H99" s="13" t="str">
        <f>IF(A99="","",IF(ISNUMBER(IF(C99="OPTION",Trades!$S97,Trades!$I97)),(IF(C99="OPTION",Trades!$S97,Trades!$I97)-Config!$B$2)/365,VALUE(LEFT(IF(C99="OPTION",Trades!$S97,Trades!$I97),LEN(IF(C99="OPTION",Trades!$S97,Trades!$I97))-1))*CHOOSE(MATCH(RIGHT(IF(C99="OPTION",Trades!$S97,Trades!$I97),1),{"D","W","M","Y"},0),1/365,7/365,1/12,1)))</f>
        <v/>
      </c>
      <c r="I99" s="13" t="str">
        <f>IF(A99="","",IFERROR(LOOKUP(2,1/((Curve!$G$2:$G$200=IF(IFERROR(INDEX(Market!$M:$M,MATCH(D99,Market!$A:$A,0))&amp;"","")="",IFERROR(VLOOKUP("reporting_ccy",Config!$A:$B,2,FALSE),""),INDEX(Market!$M:$M,MATCH(D99,Market!$A:$A,0))))*(Curve!$F$2:$F$200&lt;=H99)),Curve!$E$2:$E$200),IFERROR(INDEX(Curve!$E:$E,MATCH(IF(IFERROR(INDEX(Market!$M:$M,MATCH(D99,Market!$A:$A,0))&amp;"","")="",IFERROR(VLOOKUP("reporting_ccy",Config!$A:$B,2,FALSE),""),INDEX(Market!$M:$M,MATCH(D99,Market!$A:$A,0))),Curve!$G:$G,0)),Curve!$E$2)))</f>
        <v/>
      </c>
      <c r="J99" s="13" t="str">
        <f>IF(A99="","",IF(C99="OPTION",IF(ISNUMBER(Trades!$R97),Trades!$R97,IF(RIGHT(Trades!$R97,1)="%",VALUE(SUBSTITUTE(Trades!$R97,"%",""))/100*E99,VALUE(Trades!$R97))),IF(UPPER(Trades!$M97)="AVERAGE",Trades!$N97,E99)))</f>
        <v/>
      </c>
      <c r="K99" s="13" t="str">
        <f>IF(A99="","",IF(OR(UPPER(Trades!$F97)="BUY",UPPER(Trades!$F97)="RECEIVE_EQUITY"),1,-1))</f>
        <v/>
      </c>
      <c r="L99" s="13" t="str">
        <f>IF(A99="","",Trades!$G97)</f>
        <v/>
      </c>
      <c r="M99" s="13" t="str">
        <f>IF(A99="","",(LN(E99/J99)+(I99-F99+G99^2/2)*H99)/(G99*SQRT(H99)))</f>
        <v/>
      </c>
      <c r="N99" s="14" t="str">
        <f>IF(A99="","",IF(C99="OPTION",K99*L99*IF(LEFT(UPPER(Trades!$Q97),1)="C",(E99*EXP(-F99*H99)*_xlfn.NORM.S.DIST(M99,TRUE)-J99*EXP(-I99*H99)*_xlfn.NORM.S.DIST(M99-G99*SQRT(H99),TRUE)),(J99*EXP(-I99*H99)*_xlfn.NORM.S.DIST(-(M99-G99*SQRT(H99)),TRUE)-E99*EXP(-F99*H99)*_xlfn.NORM.S.DIST(-M99,TRUE))),K99*L99*(E99-J99)+IF(UPPER(Trades!$M97)="AVERAGE",0,N(Trades!$O97))-K99*L99*J99*N(Trades!$L97)*H99*365/360*EXP(-I99*H99/2)))</f>
        <v/>
      </c>
      <c r="O99" s="14" t="str">
        <f>IF(A99="","",SUMIFS(LegMTM!$F:$F,LegMTM!$B:$B,A99,LegMTM!$C:$C,B99))</f>
        <v/>
      </c>
      <c r="P99" s="14" t="str">
        <f>IF(A99="","",N99-O99)</f>
        <v/>
      </c>
      <c r="Q99" s="14" t="str">
        <f>IF(A99="","",IF($B$1&gt;=H99,0,IF(C99="OPTION",IF(K99&gt;0,N99*EXP(I99*$B$1),0),IF(OR(UPPER(Trades!$J97)="",UPPER(Trades!$J97)="NONE"),IF(K99&gt;0,L99*((E99*EXP((I99-F99)*$B$1))*_xlfn.NORM.S.DIST(((LN(E99/J99)-F99*$B$1+G99^2/2*$B$1)/(G99*SQRT($B$1))),TRUE)-(J99*EXP(I99*$B$1))*_xlfn.NORM.S.DIST(((LN(E99/J99)-F99*$B$1+G99^2/2*$B$1)/(G99*SQRT($B$1)))-G99*SQRT($B$1),TRUE)),L99*((J99*EXP(I99*$B$1))*_xlfn.NORM.S.DIST(-(((LN(E99/J99)-F99*$B$1+G99^2/2*$B$1)/(G99*SQRT($B$1)))-G99*SQRT($B$1)),TRUE)-(E99*EXP((I99-F99)*$B$1))*_xlfn.NORM.S.DIST(-((LN(E99/J99)-F99*$B$1+G99^2/2*$B$1)/(G99*SQRT($B$1))),TRUE))),"reset: see AnalyticCheck"))))</f>
        <v/>
      </c>
    </row>
    <row r="100" spans="1:17" x14ac:dyDescent="0.35">
      <c r="A100" t="str">
        <f>IF(Trades!$A98="","",Trades!$A98)</f>
        <v/>
      </c>
      <c r="B100" t="str">
        <f>IF(A100="","",Trades!$C98)</f>
        <v/>
      </c>
      <c r="C100" t="str">
        <f>IF(A100="","",UPPER(Trades!$D98))</f>
        <v/>
      </c>
      <c r="D100" t="str">
        <f>IF(A100="","",Trades!$E98)</f>
        <v/>
      </c>
      <c r="E100" s="13" t="str">
        <f>IF(A100="","",INDEX(Market!$J:$J,MATCH(D100,Market!$A:$A,0)))</f>
        <v/>
      </c>
      <c r="F100" s="13" t="str">
        <f>IF(A100="","",INDEX(Market!$K:$K,MATCH(D100,Market!$A:$A,0)))</f>
        <v/>
      </c>
      <c r="G100" s="13" t="str">
        <f>IF(A100="","",IF(AND(C100="OPTION",Trades!$T98&lt;&gt;""),Trades!$T98,INDEX(Market!$L:$L,MATCH(D100,Market!$A:$A,0))))</f>
        <v/>
      </c>
      <c r="H100" s="13" t="str">
        <f>IF(A100="","",IF(ISNUMBER(IF(C100="OPTION",Trades!$S98,Trades!$I98)),(IF(C100="OPTION",Trades!$S98,Trades!$I98)-Config!$B$2)/365,VALUE(LEFT(IF(C100="OPTION",Trades!$S98,Trades!$I98),LEN(IF(C100="OPTION",Trades!$S98,Trades!$I98))-1))*CHOOSE(MATCH(RIGHT(IF(C100="OPTION",Trades!$S98,Trades!$I98),1),{"D","W","M","Y"},0),1/365,7/365,1/12,1)))</f>
        <v/>
      </c>
      <c r="I100" s="13" t="str">
        <f>IF(A100="","",IFERROR(LOOKUP(2,1/((Curve!$G$2:$G$200=IF(IFERROR(INDEX(Market!$M:$M,MATCH(D100,Market!$A:$A,0))&amp;"","")="",IFERROR(VLOOKUP("reporting_ccy",Config!$A:$B,2,FALSE),""),INDEX(Market!$M:$M,MATCH(D100,Market!$A:$A,0))))*(Curve!$F$2:$F$200&lt;=H100)),Curve!$E$2:$E$200),IFERROR(INDEX(Curve!$E:$E,MATCH(IF(IFERROR(INDEX(Market!$M:$M,MATCH(D100,Market!$A:$A,0))&amp;"","")="",IFERROR(VLOOKUP("reporting_ccy",Config!$A:$B,2,FALSE),""),INDEX(Market!$M:$M,MATCH(D100,Market!$A:$A,0))),Curve!$G:$G,0)),Curve!$E$2)))</f>
        <v/>
      </c>
      <c r="J100" s="13" t="str">
        <f>IF(A100="","",IF(C100="OPTION",IF(ISNUMBER(Trades!$R98),Trades!$R98,IF(RIGHT(Trades!$R98,1)="%",VALUE(SUBSTITUTE(Trades!$R98,"%",""))/100*E100,VALUE(Trades!$R98))),IF(UPPER(Trades!$M98)="AVERAGE",Trades!$N98,E100)))</f>
        <v/>
      </c>
      <c r="K100" s="13" t="str">
        <f>IF(A100="","",IF(OR(UPPER(Trades!$F98)="BUY",UPPER(Trades!$F98)="RECEIVE_EQUITY"),1,-1))</f>
        <v/>
      </c>
      <c r="L100" s="13" t="str">
        <f>IF(A100="","",Trades!$G98)</f>
        <v/>
      </c>
      <c r="M100" s="13" t="str">
        <f>IF(A100="","",(LN(E100/J100)+(I100-F100+G100^2/2)*H100)/(G100*SQRT(H100)))</f>
        <v/>
      </c>
      <c r="N100" s="14" t="str">
        <f>IF(A100="","",IF(C100="OPTION",K100*L100*IF(LEFT(UPPER(Trades!$Q98),1)="C",(E100*EXP(-F100*H100)*_xlfn.NORM.S.DIST(M100,TRUE)-J100*EXP(-I100*H100)*_xlfn.NORM.S.DIST(M100-G100*SQRT(H100),TRUE)),(J100*EXP(-I100*H100)*_xlfn.NORM.S.DIST(-(M100-G100*SQRT(H100)),TRUE)-E100*EXP(-F100*H100)*_xlfn.NORM.S.DIST(-M100,TRUE))),K100*L100*(E100-J100)+IF(UPPER(Trades!$M98)="AVERAGE",0,N(Trades!$O98))-K100*L100*J100*N(Trades!$L98)*H100*365/360*EXP(-I100*H100/2)))</f>
        <v/>
      </c>
      <c r="O100" s="14" t="str">
        <f>IF(A100="","",SUMIFS(LegMTM!$F:$F,LegMTM!$B:$B,A100,LegMTM!$C:$C,B100))</f>
        <v/>
      </c>
      <c r="P100" s="14" t="str">
        <f>IF(A100="","",N100-O100)</f>
        <v/>
      </c>
      <c r="Q100" s="14" t="str">
        <f>IF(A100="","",IF($B$1&gt;=H100,0,IF(C100="OPTION",IF(K100&gt;0,N100*EXP(I100*$B$1),0),IF(OR(UPPER(Trades!$J98)="",UPPER(Trades!$J98)="NONE"),IF(K100&gt;0,L100*((E100*EXP((I100-F100)*$B$1))*_xlfn.NORM.S.DIST(((LN(E100/J100)-F100*$B$1+G100^2/2*$B$1)/(G100*SQRT($B$1))),TRUE)-(J100*EXP(I100*$B$1))*_xlfn.NORM.S.DIST(((LN(E100/J100)-F100*$B$1+G100^2/2*$B$1)/(G100*SQRT($B$1)))-G100*SQRT($B$1),TRUE)),L100*((J100*EXP(I100*$B$1))*_xlfn.NORM.S.DIST(-(((LN(E100/J100)-F100*$B$1+G100^2/2*$B$1)/(G100*SQRT($B$1)))-G100*SQRT($B$1)),TRUE)-(E100*EXP((I100-F100)*$B$1))*_xlfn.NORM.S.DIST(-((LN(E100/J100)-F100*$B$1+G100^2/2*$B$1)/(G100*SQRT($B$1))),TRUE))),"reset: see AnalyticCheck"))))</f>
        <v/>
      </c>
    </row>
    <row r="101" spans="1:17" x14ac:dyDescent="0.35">
      <c r="A101" t="str">
        <f>IF(Trades!$A99="","",Trades!$A99)</f>
        <v/>
      </c>
      <c r="B101" t="str">
        <f>IF(A101="","",Trades!$C99)</f>
        <v/>
      </c>
      <c r="C101" t="str">
        <f>IF(A101="","",UPPER(Trades!$D99))</f>
        <v/>
      </c>
      <c r="D101" t="str">
        <f>IF(A101="","",Trades!$E99)</f>
        <v/>
      </c>
      <c r="E101" s="13" t="str">
        <f>IF(A101="","",INDEX(Market!$J:$J,MATCH(D101,Market!$A:$A,0)))</f>
        <v/>
      </c>
      <c r="F101" s="13" t="str">
        <f>IF(A101="","",INDEX(Market!$K:$K,MATCH(D101,Market!$A:$A,0)))</f>
        <v/>
      </c>
      <c r="G101" s="13" t="str">
        <f>IF(A101="","",IF(AND(C101="OPTION",Trades!$T99&lt;&gt;""),Trades!$T99,INDEX(Market!$L:$L,MATCH(D101,Market!$A:$A,0))))</f>
        <v/>
      </c>
      <c r="H101" s="13" t="str">
        <f>IF(A101="","",IF(ISNUMBER(IF(C101="OPTION",Trades!$S99,Trades!$I99)),(IF(C101="OPTION",Trades!$S99,Trades!$I99)-Config!$B$2)/365,VALUE(LEFT(IF(C101="OPTION",Trades!$S99,Trades!$I99),LEN(IF(C101="OPTION",Trades!$S99,Trades!$I99))-1))*CHOOSE(MATCH(RIGHT(IF(C101="OPTION",Trades!$S99,Trades!$I99),1),{"D","W","M","Y"},0),1/365,7/365,1/12,1)))</f>
        <v/>
      </c>
      <c r="I101" s="13" t="str">
        <f>IF(A101="","",IFERROR(LOOKUP(2,1/((Curve!$G$2:$G$200=IF(IFERROR(INDEX(Market!$M:$M,MATCH(D101,Market!$A:$A,0))&amp;"","")="",IFERROR(VLOOKUP("reporting_ccy",Config!$A:$B,2,FALSE),""),INDEX(Market!$M:$M,MATCH(D101,Market!$A:$A,0))))*(Curve!$F$2:$F$200&lt;=H101)),Curve!$E$2:$E$200),IFERROR(INDEX(Curve!$E:$E,MATCH(IF(IFERROR(INDEX(Market!$M:$M,MATCH(D101,Market!$A:$A,0))&amp;"","")="",IFERROR(VLOOKUP("reporting_ccy",Config!$A:$B,2,FALSE),""),INDEX(Market!$M:$M,MATCH(D101,Market!$A:$A,0))),Curve!$G:$G,0)),Curve!$E$2)))</f>
        <v/>
      </c>
      <c r="J101" s="13" t="str">
        <f>IF(A101="","",IF(C101="OPTION",IF(ISNUMBER(Trades!$R99),Trades!$R99,IF(RIGHT(Trades!$R99,1)="%",VALUE(SUBSTITUTE(Trades!$R99,"%",""))/100*E101,VALUE(Trades!$R99))),IF(UPPER(Trades!$M99)="AVERAGE",Trades!$N99,E101)))</f>
        <v/>
      </c>
      <c r="K101" s="13" t="str">
        <f>IF(A101="","",IF(OR(UPPER(Trades!$F99)="BUY",UPPER(Trades!$F99)="RECEIVE_EQUITY"),1,-1))</f>
        <v/>
      </c>
      <c r="L101" s="13" t="str">
        <f>IF(A101="","",Trades!$G99)</f>
        <v/>
      </c>
      <c r="M101" s="13" t="str">
        <f>IF(A101="","",(LN(E101/J101)+(I101-F101+G101^2/2)*H101)/(G101*SQRT(H101)))</f>
        <v/>
      </c>
      <c r="N101" s="14" t="str">
        <f>IF(A101="","",IF(C101="OPTION",K101*L101*IF(LEFT(UPPER(Trades!$Q99),1)="C",(E101*EXP(-F101*H101)*_xlfn.NORM.S.DIST(M101,TRUE)-J101*EXP(-I101*H101)*_xlfn.NORM.S.DIST(M101-G101*SQRT(H101),TRUE)),(J101*EXP(-I101*H101)*_xlfn.NORM.S.DIST(-(M101-G101*SQRT(H101)),TRUE)-E101*EXP(-F101*H101)*_xlfn.NORM.S.DIST(-M101,TRUE))),K101*L101*(E101-J101)+IF(UPPER(Trades!$M99)="AVERAGE",0,N(Trades!$O99))-K101*L101*J101*N(Trades!$L99)*H101*365/360*EXP(-I101*H101/2)))</f>
        <v/>
      </c>
      <c r="O101" s="14" t="str">
        <f>IF(A101="","",SUMIFS(LegMTM!$F:$F,LegMTM!$B:$B,A101,LegMTM!$C:$C,B101))</f>
        <v/>
      </c>
      <c r="P101" s="14" t="str">
        <f>IF(A101="","",N101-O101)</f>
        <v/>
      </c>
      <c r="Q101" s="14" t="str">
        <f>IF(A101="","",IF($B$1&gt;=H101,0,IF(C101="OPTION",IF(K101&gt;0,N101*EXP(I101*$B$1),0),IF(OR(UPPER(Trades!$J99)="",UPPER(Trades!$J99)="NONE"),IF(K101&gt;0,L101*((E101*EXP((I101-F101)*$B$1))*_xlfn.NORM.S.DIST(((LN(E101/J101)-F101*$B$1+G101^2/2*$B$1)/(G101*SQRT($B$1))),TRUE)-(J101*EXP(I101*$B$1))*_xlfn.NORM.S.DIST(((LN(E101/J101)-F101*$B$1+G101^2/2*$B$1)/(G101*SQRT($B$1)))-G101*SQRT($B$1),TRUE)),L101*((J101*EXP(I101*$B$1))*_xlfn.NORM.S.DIST(-(((LN(E101/J101)-F101*$B$1+G101^2/2*$B$1)/(G101*SQRT($B$1)))-G101*SQRT($B$1)),TRUE)-(E101*EXP((I101-F101)*$B$1))*_xlfn.NORM.S.DIST(-((LN(E101/J101)-F101*$B$1+G101^2/2*$B$1)/(G101*SQRT($B$1))),TRUE))),"reset: see AnalyticCheck"))))</f>
        <v/>
      </c>
    </row>
    <row r="102" spans="1:17" x14ac:dyDescent="0.35">
      <c r="A102" t="str">
        <f>IF(Trades!$A100="","",Trades!$A100)</f>
        <v/>
      </c>
      <c r="B102" t="str">
        <f>IF(A102="","",Trades!$C100)</f>
        <v/>
      </c>
      <c r="C102" t="str">
        <f>IF(A102="","",UPPER(Trades!$D100))</f>
        <v/>
      </c>
      <c r="D102" t="str">
        <f>IF(A102="","",Trades!$E100)</f>
        <v/>
      </c>
      <c r="E102" s="13" t="str">
        <f>IF(A102="","",INDEX(Market!$J:$J,MATCH(D102,Market!$A:$A,0)))</f>
        <v/>
      </c>
      <c r="F102" s="13" t="str">
        <f>IF(A102="","",INDEX(Market!$K:$K,MATCH(D102,Market!$A:$A,0)))</f>
        <v/>
      </c>
      <c r="G102" s="13" t="str">
        <f>IF(A102="","",IF(AND(C102="OPTION",Trades!$T100&lt;&gt;""),Trades!$T100,INDEX(Market!$L:$L,MATCH(D102,Market!$A:$A,0))))</f>
        <v/>
      </c>
      <c r="H102" s="13" t="str">
        <f>IF(A102="","",IF(ISNUMBER(IF(C102="OPTION",Trades!$S100,Trades!$I100)),(IF(C102="OPTION",Trades!$S100,Trades!$I100)-Config!$B$2)/365,VALUE(LEFT(IF(C102="OPTION",Trades!$S100,Trades!$I100),LEN(IF(C102="OPTION",Trades!$S100,Trades!$I100))-1))*CHOOSE(MATCH(RIGHT(IF(C102="OPTION",Trades!$S100,Trades!$I100),1),{"D","W","M","Y"},0),1/365,7/365,1/12,1)))</f>
        <v/>
      </c>
      <c r="I102" s="13" t="str">
        <f>IF(A102="","",IFERROR(LOOKUP(2,1/((Curve!$G$2:$G$200=IF(IFERROR(INDEX(Market!$M:$M,MATCH(D102,Market!$A:$A,0))&amp;"","")="",IFERROR(VLOOKUP("reporting_ccy",Config!$A:$B,2,FALSE),""),INDEX(Market!$M:$M,MATCH(D102,Market!$A:$A,0))))*(Curve!$F$2:$F$200&lt;=H102)),Curve!$E$2:$E$200),IFERROR(INDEX(Curve!$E:$E,MATCH(IF(IFERROR(INDEX(Market!$M:$M,MATCH(D102,Market!$A:$A,0))&amp;"","")="",IFERROR(VLOOKUP("reporting_ccy",Config!$A:$B,2,FALSE),""),INDEX(Market!$M:$M,MATCH(D102,Market!$A:$A,0))),Curve!$G:$G,0)),Curve!$E$2)))</f>
        <v/>
      </c>
      <c r="J102" s="13" t="str">
        <f>IF(A102="","",IF(C102="OPTION",IF(ISNUMBER(Trades!$R100),Trades!$R100,IF(RIGHT(Trades!$R100,1)="%",VALUE(SUBSTITUTE(Trades!$R100,"%",""))/100*E102,VALUE(Trades!$R100))),IF(UPPER(Trades!$M100)="AVERAGE",Trades!$N100,E102)))</f>
        <v/>
      </c>
      <c r="K102" s="13" t="str">
        <f>IF(A102="","",IF(OR(UPPER(Trades!$F100)="BUY",UPPER(Trades!$F100)="RECEIVE_EQUITY"),1,-1))</f>
        <v/>
      </c>
      <c r="L102" s="13" t="str">
        <f>IF(A102="","",Trades!$G100)</f>
        <v/>
      </c>
      <c r="M102" s="13" t="str">
        <f>IF(A102="","",(LN(E102/J102)+(I102-F102+G102^2/2)*H102)/(G102*SQRT(H102)))</f>
        <v/>
      </c>
      <c r="N102" s="14" t="str">
        <f>IF(A102="","",IF(C102="OPTION",K102*L102*IF(LEFT(UPPER(Trades!$Q100),1)="C",(E102*EXP(-F102*H102)*_xlfn.NORM.S.DIST(M102,TRUE)-J102*EXP(-I102*H102)*_xlfn.NORM.S.DIST(M102-G102*SQRT(H102),TRUE)),(J102*EXP(-I102*H102)*_xlfn.NORM.S.DIST(-(M102-G102*SQRT(H102)),TRUE)-E102*EXP(-F102*H102)*_xlfn.NORM.S.DIST(-M102,TRUE))),K102*L102*(E102-J102)+IF(UPPER(Trades!$M100)="AVERAGE",0,N(Trades!$O100))-K102*L102*J102*N(Trades!$L100)*H102*365/360*EXP(-I102*H102/2)))</f>
        <v/>
      </c>
      <c r="O102" s="14" t="str">
        <f>IF(A102="","",SUMIFS(LegMTM!$F:$F,LegMTM!$B:$B,A102,LegMTM!$C:$C,B102))</f>
        <v/>
      </c>
      <c r="P102" s="14" t="str">
        <f>IF(A102="","",N102-O102)</f>
        <v/>
      </c>
      <c r="Q102" s="14" t="str">
        <f>IF(A102="","",IF($B$1&gt;=H102,0,IF(C102="OPTION",IF(K102&gt;0,N102*EXP(I102*$B$1),0),IF(OR(UPPER(Trades!$J100)="",UPPER(Trades!$J100)="NONE"),IF(K102&gt;0,L102*((E102*EXP((I102-F102)*$B$1))*_xlfn.NORM.S.DIST(((LN(E102/J102)-F102*$B$1+G102^2/2*$B$1)/(G102*SQRT($B$1))),TRUE)-(J102*EXP(I102*$B$1))*_xlfn.NORM.S.DIST(((LN(E102/J102)-F102*$B$1+G102^2/2*$B$1)/(G102*SQRT($B$1)))-G102*SQRT($B$1),TRUE)),L102*((J102*EXP(I102*$B$1))*_xlfn.NORM.S.DIST(-(((LN(E102/J102)-F102*$B$1+G102^2/2*$B$1)/(G102*SQRT($B$1)))-G102*SQRT($B$1)),TRUE)-(E102*EXP((I102-F102)*$B$1))*_xlfn.NORM.S.DIST(-((LN(E102/J102)-F102*$B$1+G102^2/2*$B$1)/(G102*SQRT($B$1))),TRUE))),"reset: see AnalyticCheck"))))</f>
        <v/>
      </c>
    </row>
    <row r="103" spans="1:17" x14ac:dyDescent="0.35">
      <c r="A103" t="str">
        <f>IF(Trades!$A101="","",Trades!$A101)</f>
        <v/>
      </c>
      <c r="B103" t="str">
        <f>IF(A103="","",Trades!$C101)</f>
        <v/>
      </c>
      <c r="C103" t="str">
        <f>IF(A103="","",UPPER(Trades!$D101))</f>
        <v/>
      </c>
      <c r="D103" t="str">
        <f>IF(A103="","",Trades!$E101)</f>
        <v/>
      </c>
      <c r="E103" s="13" t="str">
        <f>IF(A103="","",INDEX(Market!$J:$J,MATCH(D103,Market!$A:$A,0)))</f>
        <v/>
      </c>
      <c r="F103" s="13" t="str">
        <f>IF(A103="","",INDEX(Market!$K:$K,MATCH(D103,Market!$A:$A,0)))</f>
        <v/>
      </c>
      <c r="G103" s="13" t="str">
        <f>IF(A103="","",IF(AND(C103="OPTION",Trades!$T101&lt;&gt;""),Trades!$T101,INDEX(Market!$L:$L,MATCH(D103,Market!$A:$A,0))))</f>
        <v/>
      </c>
      <c r="H103" s="13" t="str">
        <f>IF(A103="","",IF(ISNUMBER(IF(C103="OPTION",Trades!$S101,Trades!$I101)),(IF(C103="OPTION",Trades!$S101,Trades!$I101)-Config!$B$2)/365,VALUE(LEFT(IF(C103="OPTION",Trades!$S101,Trades!$I101),LEN(IF(C103="OPTION",Trades!$S101,Trades!$I101))-1))*CHOOSE(MATCH(RIGHT(IF(C103="OPTION",Trades!$S101,Trades!$I101),1),{"D","W","M","Y"},0),1/365,7/365,1/12,1)))</f>
        <v/>
      </c>
      <c r="I103" s="13" t="str">
        <f>IF(A103="","",IFERROR(LOOKUP(2,1/((Curve!$G$2:$G$200=IF(IFERROR(INDEX(Market!$M:$M,MATCH(D103,Market!$A:$A,0))&amp;"","")="",IFERROR(VLOOKUP("reporting_ccy",Config!$A:$B,2,FALSE),""),INDEX(Market!$M:$M,MATCH(D103,Market!$A:$A,0))))*(Curve!$F$2:$F$200&lt;=H103)),Curve!$E$2:$E$200),IFERROR(INDEX(Curve!$E:$E,MATCH(IF(IFERROR(INDEX(Market!$M:$M,MATCH(D103,Market!$A:$A,0))&amp;"","")="",IFERROR(VLOOKUP("reporting_ccy",Config!$A:$B,2,FALSE),""),INDEX(Market!$M:$M,MATCH(D103,Market!$A:$A,0))),Curve!$G:$G,0)),Curve!$E$2)))</f>
        <v/>
      </c>
      <c r="J103" s="13" t="str">
        <f>IF(A103="","",IF(C103="OPTION",IF(ISNUMBER(Trades!$R101),Trades!$R101,IF(RIGHT(Trades!$R101,1)="%",VALUE(SUBSTITUTE(Trades!$R101,"%",""))/100*E103,VALUE(Trades!$R101))),IF(UPPER(Trades!$M101)="AVERAGE",Trades!$N101,E103)))</f>
        <v/>
      </c>
      <c r="K103" s="13" t="str">
        <f>IF(A103="","",IF(OR(UPPER(Trades!$F101)="BUY",UPPER(Trades!$F101)="RECEIVE_EQUITY"),1,-1))</f>
        <v/>
      </c>
      <c r="L103" s="13" t="str">
        <f>IF(A103="","",Trades!$G101)</f>
        <v/>
      </c>
      <c r="M103" s="13" t="str">
        <f>IF(A103="","",(LN(E103/J103)+(I103-F103+G103^2/2)*H103)/(G103*SQRT(H103)))</f>
        <v/>
      </c>
      <c r="N103" s="14" t="str">
        <f>IF(A103="","",IF(C103="OPTION",K103*L103*IF(LEFT(UPPER(Trades!$Q101),1)="C",(E103*EXP(-F103*H103)*_xlfn.NORM.S.DIST(M103,TRUE)-J103*EXP(-I103*H103)*_xlfn.NORM.S.DIST(M103-G103*SQRT(H103),TRUE)),(J103*EXP(-I103*H103)*_xlfn.NORM.S.DIST(-(M103-G103*SQRT(H103)),TRUE)-E103*EXP(-F103*H103)*_xlfn.NORM.S.DIST(-M103,TRUE))),K103*L103*(E103-J103)+IF(UPPER(Trades!$M101)="AVERAGE",0,N(Trades!$O101))-K103*L103*J103*N(Trades!$L101)*H103*365/360*EXP(-I103*H103/2)))</f>
        <v/>
      </c>
      <c r="O103" s="14" t="str">
        <f>IF(A103="","",SUMIFS(LegMTM!$F:$F,LegMTM!$B:$B,A103,LegMTM!$C:$C,B103))</f>
        <v/>
      </c>
      <c r="P103" s="14" t="str">
        <f>IF(A103="","",N103-O103)</f>
        <v/>
      </c>
      <c r="Q103" s="14" t="str">
        <f>IF(A103="","",IF($B$1&gt;=H103,0,IF(C103="OPTION",IF(K103&gt;0,N103*EXP(I103*$B$1),0),IF(OR(UPPER(Trades!$J101)="",UPPER(Trades!$J101)="NONE"),IF(K103&gt;0,L103*((E103*EXP((I103-F103)*$B$1))*_xlfn.NORM.S.DIST(((LN(E103/J103)-F103*$B$1+G103^2/2*$B$1)/(G103*SQRT($B$1))),TRUE)-(J103*EXP(I103*$B$1))*_xlfn.NORM.S.DIST(((LN(E103/J103)-F103*$B$1+G103^2/2*$B$1)/(G103*SQRT($B$1)))-G103*SQRT($B$1),TRUE)),L103*((J103*EXP(I103*$B$1))*_xlfn.NORM.S.DIST(-(((LN(E103/J103)-F103*$B$1+G103^2/2*$B$1)/(G103*SQRT($B$1)))-G103*SQRT($B$1)),TRUE)-(E103*EXP((I103-F103)*$B$1))*_xlfn.NORM.S.DIST(-((LN(E103/J103)-F103*$B$1+G103^2/2*$B$1)/(G103*SQRT($B$1))),TRUE))),"reset: see AnalyticCheck"))))</f>
        <v/>
      </c>
    </row>
    <row r="104" spans="1:17" x14ac:dyDescent="0.35">
      <c r="E104" s="13"/>
      <c r="F104" s="13"/>
      <c r="G104" s="13"/>
      <c r="H104" s="13"/>
      <c r="I104" s="13"/>
      <c r="J104" s="13"/>
      <c r="K104" s="13"/>
      <c r="L104" s="13"/>
      <c r="M104" s="13"/>
      <c r="N104" s="14"/>
      <c r="O104" s="14"/>
      <c r="P104" s="14"/>
      <c r="Q104" s="14"/>
    </row>
    <row r="105" spans="1:17" x14ac:dyDescent="0.35">
      <c r="E105" s="13"/>
      <c r="F105" s="13"/>
      <c r="G105" s="13"/>
      <c r="H105" s="13"/>
      <c r="I105" s="13"/>
      <c r="J105" s="13"/>
      <c r="K105" s="13"/>
      <c r="L105" s="13"/>
      <c r="M105" s="13"/>
      <c r="N105" s="14"/>
      <c r="O105" s="14"/>
      <c r="P105" s="14"/>
      <c r="Q105" s="14"/>
    </row>
    <row r="106" spans="1:17" x14ac:dyDescent="0.35">
      <c r="E106" s="13"/>
      <c r="F106" s="13"/>
      <c r="G106" s="13"/>
      <c r="H106" s="13"/>
      <c r="I106" s="13"/>
      <c r="J106" s="13"/>
      <c r="K106" s="13"/>
      <c r="L106" s="13"/>
      <c r="M106" s="13"/>
      <c r="N106" s="14"/>
      <c r="O106" s="14"/>
      <c r="P106" s="14"/>
      <c r="Q106" s="14"/>
    </row>
    <row r="107" spans="1:17" x14ac:dyDescent="0.35">
      <c r="E107" s="13"/>
      <c r="F107" s="13"/>
      <c r="G107" s="13"/>
      <c r="H107" s="13"/>
      <c r="I107" s="13"/>
      <c r="J107" s="13"/>
      <c r="K107" s="13"/>
      <c r="L107" s="13"/>
      <c r="M107" s="13"/>
      <c r="N107" s="14"/>
      <c r="O107" s="14"/>
      <c r="P107" s="14"/>
      <c r="Q107" s="14"/>
    </row>
    <row r="108" spans="1:17" x14ac:dyDescent="0.35">
      <c r="E108" s="13"/>
      <c r="F108" s="13"/>
      <c r="G108" s="13"/>
      <c r="H108" s="13"/>
      <c r="I108" s="13"/>
      <c r="J108" s="13"/>
      <c r="K108" s="13"/>
      <c r="L108" s="13"/>
      <c r="M108" s="13"/>
      <c r="N108" s="14"/>
      <c r="O108" s="14"/>
      <c r="P108" s="14"/>
      <c r="Q108" s="14"/>
    </row>
    <row r="109" spans="1:17" x14ac:dyDescent="0.35">
      <c r="E109" s="13"/>
      <c r="F109" s="13"/>
      <c r="G109" s="13"/>
      <c r="H109" s="13"/>
      <c r="I109" s="13"/>
      <c r="J109" s="13"/>
      <c r="K109" s="13"/>
      <c r="L109" s="13"/>
      <c r="M109" s="13"/>
      <c r="N109" s="14"/>
      <c r="O109" s="14"/>
      <c r="P109" s="14"/>
      <c r="Q109" s="14"/>
    </row>
    <row r="110" spans="1:17" x14ac:dyDescent="0.35">
      <c r="E110" s="13"/>
      <c r="F110" s="13"/>
      <c r="G110" s="13"/>
      <c r="H110" s="13"/>
      <c r="I110" s="13"/>
      <c r="J110" s="13"/>
      <c r="K110" s="13"/>
      <c r="L110" s="13"/>
      <c r="M110" s="13"/>
      <c r="N110" s="14"/>
      <c r="O110" s="14"/>
      <c r="P110" s="14"/>
      <c r="Q110" s="14"/>
    </row>
    <row r="111" spans="1:17" x14ac:dyDescent="0.35">
      <c r="E111" s="13"/>
      <c r="F111" s="13"/>
      <c r="G111" s="13"/>
      <c r="H111" s="13"/>
      <c r="I111" s="13"/>
      <c r="J111" s="13"/>
      <c r="K111" s="13"/>
      <c r="L111" s="13"/>
      <c r="M111" s="13"/>
      <c r="N111" s="14"/>
      <c r="O111" s="14"/>
      <c r="P111" s="14"/>
      <c r="Q111" s="14"/>
    </row>
    <row r="112" spans="1:17" x14ac:dyDescent="0.35">
      <c r="E112" s="13"/>
      <c r="F112" s="13"/>
      <c r="G112" s="13"/>
      <c r="H112" s="13"/>
      <c r="I112" s="13"/>
      <c r="J112" s="13"/>
      <c r="K112" s="13"/>
      <c r="L112" s="13"/>
      <c r="M112" s="13"/>
      <c r="N112" s="14"/>
      <c r="O112" s="14"/>
      <c r="P112" s="14"/>
      <c r="Q112" s="14"/>
    </row>
    <row r="113" spans="5:17" x14ac:dyDescent="0.35">
      <c r="E113" s="13"/>
      <c r="F113" s="13"/>
      <c r="G113" s="13"/>
      <c r="H113" s="13"/>
      <c r="I113" s="13"/>
      <c r="J113" s="13"/>
      <c r="K113" s="13"/>
      <c r="L113" s="13"/>
      <c r="M113" s="13"/>
      <c r="N113" s="14"/>
      <c r="O113" s="14"/>
      <c r="P113" s="14"/>
      <c r="Q113" s="14"/>
    </row>
    <row r="114" spans="5:17" x14ac:dyDescent="0.35">
      <c r="E114" s="13"/>
      <c r="F114" s="13"/>
      <c r="G114" s="13"/>
      <c r="H114" s="13"/>
      <c r="I114" s="13"/>
      <c r="J114" s="13"/>
      <c r="K114" s="13"/>
      <c r="L114" s="13"/>
      <c r="M114" s="13"/>
      <c r="N114" s="14"/>
      <c r="O114" s="14"/>
      <c r="P114" s="14"/>
      <c r="Q114" s="14"/>
    </row>
    <row r="115" spans="5:17" x14ac:dyDescent="0.35">
      <c r="E115" s="13"/>
      <c r="F115" s="13"/>
      <c r="G115" s="13"/>
      <c r="H115" s="13"/>
      <c r="I115" s="13"/>
      <c r="J115" s="13"/>
      <c r="K115" s="13"/>
      <c r="L115" s="13"/>
      <c r="M115" s="13"/>
      <c r="N115" s="14"/>
      <c r="O115" s="14"/>
      <c r="P115" s="14"/>
      <c r="Q115" s="14"/>
    </row>
    <row r="116" spans="5:17" x14ac:dyDescent="0.35">
      <c r="E116" s="13"/>
      <c r="F116" s="13"/>
      <c r="G116" s="13"/>
      <c r="H116" s="13"/>
      <c r="I116" s="13"/>
      <c r="J116" s="13"/>
      <c r="K116" s="13"/>
      <c r="L116" s="13"/>
      <c r="M116" s="13"/>
      <c r="N116" s="14"/>
      <c r="O116" s="14"/>
      <c r="P116" s="14"/>
      <c r="Q116" s="14"/>
    </row>
    <row r="117" spans="5:17" x14ac:dyDescent="0.35">
      <c r="E117" s="13"/>
      <c r="F117" s="13"/>
      <c r="G117" s="13"/>
      <c r="H117" s="13"/>
      <c r="I117" s="13"/>
      <c r="J117" s="13"/>
      <c r="K117" s="13"/>
      <c r="L117" s="13"/>
      <c r="M117" s="13"/>
      <c r="N117" s="14"/>
      <c r="O117" s="14"/>
      <c r="P117" s="14"/>
      <c r="Q117" s="14"/>
    </row>
    <row r="118" spans="5:17" x14ac:dyDescent="0.35">
      <c r="E118" s="13"/>
      <c r="F118" s="13"/>
      <c r="G118" s="13"/>
      <c r="H118" s="13"/>
      <c r="I118" s="13"/>
      <c r="J118" s="13"/>
      <c r="K118" s="13"/>
      <c r="L118" s="13"/>
      <c r="M118" s="13"/>
      <c r="N118" s="14"/>
      <c r="O118" s="14"/>
      <c r="P118" s="14"/>
      <c r="Q118" s="14"/>
    </row>
    <row r="119" spans="5:17" x14ac:dyDescent="0.35">
      <c r="E119" s="13"/>
      <c r="F119" s="13"/>
      <c r="G119" s="13"/>
      <c r="H119" s="13"/>
      <c r="I119" s="13"/>
      <c r="J119" s="13"/>
      <c r="K119" s="13"/>
      <c r="L119" s="13"/>
      <c r="M119" s="13"/>
      <c r="N119" s="14"/>
      <c r="O119" s="14"/>
      <c r="P119" s="14"/>
      <c r="Q119" s="14"/>
    </row>
    <row r="120" spans="5:17" x14ac:dyDescent="0.35">
      <c r="E120" s="13"/>
      <c r="F120" s="13"/>
      <c r="G120" s="13"/>
      <c r="H120" s="13"/>
      <c r="I120" s="13"/>
      <c r="J120" s="13"/>
      <c r="K120" s="13"/>
      <c r="L120" s="13"/>
      <c r="M120" s="13"/>
      <c r="N120" s="14"/>
      <c r="O120" s="14"/>
      <c r="P120" s="14"/>
      <c r="Q120" s="14"/>
    </row>
    <row r="121" spans="5:17" x14ac:dyDescent="0.35">
      <c r="E121" s="13"/>
      <c r="F121" s="13"/>
      <c r="G121" s="13"/>
      <c r="H121" s="13"/>
      <c r="I121" s="13"/>
      <c r="J121" s="13"/>
      <c r="K121" s="13"/>
      <c r="L121" s="13"/>
      <c r="M121" s="13"/>
      <c r="N121" s="14"/>
      <c r="O121" s="14"/>
      <c r="P121" s="14"/>
      <c r="Q121" s="14"/>
    </row>
    <row r="122" spans="5:17" x14ac:dyDescent="0.35">
      <c r="E122" s="13"/>
      <c r="F122" s="13"/>
      <c r="G122" s="13"/>
      <c r="H122" s="13"/>
      <c r="I122" s="13"/>
      <c r="J122" s="13"/>
      <c r="K122" s="13"/>
      <c r="L122" s="13"/>
      <c r="M122" s="13"/>
      <c r="N122" s="14"/>
      <c r="O122" s="14"/>
      <c r="P122" s="14"/>
      <c r="Q122" s="14"/>
    </row>
    <row r="123" spans="5:17" x14ac:dyDescent="0.35">
      <c r="E123" s="13"/>
      <c r="F123" s="13"/>
      <c r="G123" s="13"/>
      <c r="H123" s="13"/>
      <c r="I123" s="13"/>
      <c r="J123" s="13"/>
      <c r="K123" s="13"/>
      <c r="L123" s="13"/>
      <c r="M123" s="13"/>
      <c r="N123" s="14"/>
      <c r="O123" s="14"/>
      <c r="P123" s="14"/>
      <c r="Q123" s="14"/>
    </row>
    <row r="124" spans="5:17" x14ac:dyDescent="0.35">
      <c r="E124" s="13"/>
      <c r="F124" s="13"/>
      <c r="G124" s="13"/>
      <c r="H124" s="13"/>
      <c r="I124" s="13"/>
      <c r="J124" s="13"/>
      <c r="K124" s="13"/>
      <c r="L124" s="13"/>
      <c r="M124" s="13"/>
      <c r="N124" s="14"/>
      <c r="O124" s="14"/>
      <c r="P124" s="14"/>
      <c r="Q124" s="14"/>
    </row>
    <row r="125" spans="5:17" x14ac:dyDescent="0.35">
      <c r="E125" s="13"/>
      <c r="F125" s="13"/>
      <c r="G125" s="13"/>
      <c r="H125" s="13"/>
      <c r="I125" s="13"/>
      <c r="J125" s="13"/>
      <c r="K125" s="13"/>
      <c r="L125" s="13"/>
      <c r="M125" s="13"/>
      <c r="N125" s="14"/>
      <c r="O125" s="14"/>
      <c r="P125" s="14"/>
      <c r="Q125" s="14"/>
    </row>
    <row r="126" spans="5:17" x14ac:dyDescent="0.35">
      <c r="E126" s="13"/>
      <c r="F126" s="13"/>
      <c r="G126" s="13"/>
      <c r="H126" s="13"/>
      <c r="I126" s="13"/>
      <c r="J126" s="13"/>
      <c r="K126" s="13"/>
      <c r="L126" s="13"/>
      <c r="M126" s="13"/>
      <c r="N126" s="14"/>
      <c r="O126" s="14"/>
      <c r="P126" s="14"/>
      <c r="Q126" s="14"/>
    </row>
    <row r="127" spans="5:17" x14ac:dyDescent="0.35">
      <c r="E127" s="13"/>
      <c r="F127" s="13"/>
      <c r="G127" s="13"/>
      <c r="H127" s="13"/>
      <c r="I127" s="13"/>
      <c r="J127" s="13"/>
      <c r="K127" s="13"/>
      <c r="L127" s="13"/>
      <c r="M127" s="13"/>
      <c r="N127" s="14"/>
      <c r="O127" s="14"/>
      <c r="P127" s="14"/>
      <c r="Q127" s="14"/>
    </row>
    <row r="128" spans="5:17" x14ac:dyDescent="0.35">
      <c r="E128" s="13"/>
      <c r="F128" s="13"/>
      <c r="G128" s="13"/>
      <c r="H128" s="13"/>
      <c r="I128" s="13"/>
      <c r="J128" s="13"/>
      <c r="K128" s="13"/>
      <c r="L128" s="13"/>
      <c r="M128" s="13"/>
      <c r="N128" s="14"/>
      <c r="O128" s="14"/>
      <c r="P128" s="14"/>
      <c r="Q128" s="14"/>
    </row>
    <row r="129" spans="5:17" x14ac:dyDescent="0.35">
      <c r="E129" s="13"/>
      <c r="F129" s="13"/>
      <c r="G129" s="13"/>
      <c r="H129" s="13"/>
      <c r="I129" s="13"/>
      <c r="J129" s="13"/>
      <c r="K129" s="13"/>
      <c r="L129" s="13"/>
      <c r="M129" s="13"/>
      <c r="N129" s="14"/>
      <c r="O129" s="14"/>
      <c r="P129" s="14"/>
      <c r="Q129" s="14"/>
    </row>
    <row r="130" spans="5:17" x14ac:dyDescent="0.35">
      <c r="E130" s="13"/>
      <c r="F130" s="13"/>
      <c r="G130" s="13"/>
      <c r="H130" s="13"/>
      <c r="I130" s="13"/>
      <c r="J130" s="13"/>
      <c r="K130" s="13"/>
      <c r="L130" s="13"/>
      <c r="M130" s="13"/>
      <c r="N130" s="14"/>
      <c r="O130" s="14"/>
      <c r="P130" s="14"/>
      <c r="Q130" s="14"/>
    </row>
    <row r="131" spans="5:17" x14ac:dyDescent="0.35">
      <c r="E131" s="13"/>
      <c r="F131" s="13"/>
      <c r="G131" s="13"/>
      <c r="H131" s="13"/>
      <c r="I131" s="13"/>
      <c r="J131" s="13"/>
      <c r="K131" s="13"/>
      <c r="L131" s="13"/>
      <c r="M131" s="13"/>
      <c r="N131" s="14"/>
      <c r="O131" s="14"/>
      <c r="P131" s="14"/>
      <c r="Q131" s="14"/>
    </row>
    <row r="132" spans="5:17" x14ac:dyDescent="0.35">
      <c r="E132" s="13"/>
      <c r="F132" s="13"/>
      <c r="G132" s="13"/>
      <c r="H132" s="13"/>
      <c r="I132" s="13"/>
      <c r="J132" s="13"/>
      <c r="K132" s="13"/>
      <c r="L132" s="13"/>
      <c r="M132" s="13"/>
      <c r="N132" s="14"/>
      <c r="O132" s="14"/>
      <c r="P132" s="14"/>
      <c r="Q132" s="14"/>
    </row>
    <row r="133" spans="5:17" x14ac:dyDescent="0.35">
      <c r="E133" s="13"/>
      <c r="F133" s="13"/>
      <c r="G133" s="13"/>
      <c r="H133" s="13"/>
      <c r="I133" s="13"/>
      <c r="J133" s="13"/>
      <c r="K133" s="13"/>
      <c r="L133" s="13"/>
      <c r="M133" s="13"/>
      <c r="N133" s="14"/>
      <c r="O133" s="14"/>
      <c r="P133" s="14"/>
      <c r="Q133" s="14"/>
    </row>
    <row r="134" spans="5:17" x14ac:dyDescent="0.35">
      <c r="E134" s="13"/>
      <c r="F134" s="13"/>
      <c r="G134" s="13"/>
      <c r="H134" s="13"/>
      <c r="I134" s="13"/>
      <c r="J134" s="13"/>
      <c r="K134" s="13"/>
      <c r="L134" s="13"/>
      <c r="M134" s="13"/>
      <c r="N134" s="14"/>
      <c r="O134" s="14"/>
      <c r="P134" s="14"/>
      <c r="Q134" s="14"/>
    </row>
    <row r="135" spans="5:17" x14ac:dyDescent="0.35">
      <c r="E135" s="13"/>
      <c r="F135" s="13"/>
      <c r="G135" s="13"/>
      <c r="H135" s="13"/>
      <c r="I135" s="13"/>
      <c r="J135" s="13"/>
      <c r="K135" s="13"/>
      <c r="L135" s="13"/>
      <c r="M135" s="13"/>
      <c r="N135" s="14"/>
      <c r="O135" s="14"/>
      <c r="P135" s="14"/>
      <c r="Q135" s="14"/>
    </row>
    <row r="136" spans="5:17" x14ac:dyDescent="0.35">
      <c r="E136" s="13"/>
      <c r="F136" s="13"/>
      <c r="G136" s="13"/>
      <c r="H136" s="13"/>
      <c r="I136" s="13"/>
      <c r="J136" s="13"/>
      <c r="K136" s="13"/>
      <c r="L136" s="13"/>
      <c r="M136" s="13"/>
      <c r="N136" s="14"/>
      <c r="O136" s="14"/>
      <c r="P136" s="14"/>
      <c r="Q136" s="14"/>
    </row>
    <row r="137" spans="5:17" x14ac:dyDescent="0.35">
      <c r="E137" s="13"/>
      <c r="F137" s="13"/>
      <c r="G137" s="13"/>
      <c r="H137" s="13"/>
      <c r="I137" s="13"/>
      <c r="J137" s="13"/>
      <c r="K137" s="13"/>
      <c r="L137" s="13"/>
      <c r="M137" s="13"/>
      <c r="N137" s="14"/>
      <c r="O137" s="14"/>
      <c r="P137" s="14"/>
      <c r="Q137" s="14"/>
    </row>
    <row r="138" spans="5:17" x14ac:dyDescent="0.35">
      <c r="E138" s="13"/>
      <c r="F138" s="13"/>
      <c r="G138" s="13"/>
      <c r="H138" s="13"/>
      <c r="I138" s="13"/>
      <c r="J138" s="13"/>
      <c r="K138" s="13"/>
      <c r="L138" s="13"/>
      <c r="M138" s="13"/>
      <c r="N138" s="14"/>
      <c r="O138" s="14"/>
      <c r="P138" s="14"/>
      <c r="Q138" s="14"/>
    </row>
    <row r="139" spans="5:17" x14ac:dyDescent="0.35">
      <c r="E139" s="13"/>
      <c r="F139" s="13"/>
      <c r="G139" s="13"/>
      <c r="H139" s="13"/>
      <c r="I139" s="13"/>
      <c r="J139" s="13"/>
      <c r="K139" s="13"/>
      <c r="L139" s="13"/>
      <c r="M139" s="13"/>
      <c r="N139" s="14"/>
      <c r="O139" s="14"/>
      <c r="P139" s="14"/>
      <c r="Q139" s="14"/>
    </row>
    <row r="140" spans="5:17" x14ac:dyDescent="0.35">
      <c r="E140" s="13"/>
      <c r="F140" s="13"/>
      <c r="G140" s="13"/>
      <c r="H140" s="13"/>
      <c r="I140" s="13"/>
      <c r="J140" s="13"/>
      <c r="K140" s="13"/>
      <c r="L140" s="13"/>
      <c r="M140" s="13"/>
      <c r="N140" s="14"/>
      <c r="O140" s="14"/>
      <c r="P140" s="14"/>
      <c r="Q140" s="14"/>
    </row>
    <row r="141" spans="5:17" x14ac:dyDescent="0.35">
      <c r="E141" s="13"/>
      <c r="F141" s="13"/>
      <c r="G141" s="13"/>
      <c r="H141" s="13"/>
      <c r="I141" s="13"/>
      <c r="J141" s="13"/>
      <c r="K141" s="13"/>
      <c r="L141" s="13"/>
      <c r="M141" s="13"/>
      <c r="N141" s="14"/>
      <c r="O141" s="14"/>
      <c r="P141" s="14"/>
      <c r="Q141" s="14"/>
    </row>
    <row r="142" spans="5:17" x14ac:dyDescent="0.35">
      <c r="E142" s="13"/>
      <c r="F142" s="13"/>
      <c r="G142" s="13"/>
      <c r="H142" s="13"/>
      <c r="I142" s="13"/>
      <c r="J142" s="13"/>
      <c r="K142" s="13"/>
      <c r="L142" s="13"/>
      <c r="M142" s="13"/>
      <c r="N142" s="14"/>
      <c r="O142" s="14"/>
      <c r="P142" s="14"/>
      <c r="Q142" s="14"/>
    </row>
    <row r="143" spans="5:17" x14ac:dyDescent="0.35">
      <c r="E143" s="13"/>
      <c r="F143" s="13"/>
      <c r="G143" s="13"/>
      <c r="H143" s="13"/>
      <c r="I143" s="13"/>
      <c r="J143" s="13"/>
      <c r="K143" s="13"/>
      <c r="L143" s="13"/>
      <c r="M143" s="13"/>
      <c r="N143" s="14"/>
      <c r="O143" s="14"/>
      <c r="P143" s="14"/>
      <c r="Q143" s="14"/>
    </row>
    <row r="144" spans="5:17" x14ac:dyDescent="0.35">
      <c r="E144" s="13"/>
      <c r="F144" s="13"/>
      <c r="G144" s="13"/>
      <c r="H144" s="13"/>
      <c r="I144" s="13"/>
      <c r="J144" s="13"/>
      <c r="K144" s="13"/>
      <c r="L144" s="13"/>
      <c r="M144" s="13"/>
      <c r="N144" s="14"/>
      <c r="O144" s="14"/>
      <c r="P144" s="14"/>
      <c r="Q144" s="14"/>
    </row>
    <row r="145" spans="5:17" x14ac:dyDescent="0.35">
      <c r="E145" s="13"/>
      <c r="F145" s="13"/>
      <c r="G145" s="13"/>
      <c r="H145" s="13"/>
      <c r="I145" s="13"/>
      <c r="J145" s="13"/>
      <c r="K145" s="13"/>
      <c r="L145" s="13"/>
      <c r="M145" s="13"/>
      <c r="N145" s="14"/>
      <c r="O145" s="14"/>
      <c r="P145" s="14"/>
      <c r="Q145" s="14"/>
    </row>
    <row r="146" spans="5:17" x14ac:dyDescent="0.35">
      <c r="E146" s="13"/>
      <c r="F146" s="13"/>
      <c r="G146" s="13"/>
      <c r="H146" s="13"/>
      <c r="I146" s="13"/>
      <c r="J146" s="13"/>
      <c r="K146" s="13"/>
      <c r="L146" s="13"/>
      <c r="M146" s="13"/>
      <c r="N146" s="14"/>
      <c r="O146" s="14"/>
      <c r="P146" s="14"/>
      <c r="Q146" s="14"/>
    </row>
    <row r="147" spans="5:17" x14ac:dyDescent="0.35">
      <c r="E147" s="13"/>
      <c r="F147" s="13"/>
      <c r="G147" s="13"/>
      <c r="H147" s="13"/>
      <c r="I147" s="13"/>
      <c r="J147" s="13"/>
      <c r="K147" s="13"/>
      <c r="L147" s="13"/>
      <c r="M147" s="13"/>
      <c r="N147" s="14"/>
      <c r="O147" s="14"/>
      <c r="P147" s="14"/>
      <c r="Q147" s="14"/>
    </row>
    <row r="148" spans="5:17" x14ac:dyDescent="0.35">
      <c r="E148" s="13"/>
      <c r="F148" s="13"/>
      <c r="G148" s="13"/>
      <c r="H148" s="13"/>
      <c r="I148" s="13"/>
      <c r="J148" s="13"/>
      <c r="K148" s="13"/>
      <c r="L148" s="13"/>
      <c r="M148" s="13"/>
      <c r="N148" s="14"/>
      <c r="O148" s="14"/>
      <c r="P148" s="14"/>
      <c r="Q148" s="14"/>
    </row>
    <row r="149" spans="5:17" x14ac:dyDescent="0.35">
      <c r="E149" s="13"/>
      <c r="F149" s="13"/>
      <c r="G149" s="13"/>
      <c r="H149" s="13"/>
      <c r="I149" s="13"/>
      <c r="J149" s="13"/>
      <c r="K149" s="13"/>
      <c r="L149" s="13"/>
      <c r="M149" s="13"/>
      <c r="N149" s="14"/>
      <c r="O149" s="14"/>
      <c r="P149" s="14"/>
      <c r="Q149" s="14"/>
    </row>
    <row r="150" spans="5:17" x14ac:dyDescent="0.35">
      <c r="E150" s="13"/>
      <c r="F150" s="13"/>
      <c r="G150" s="13"/>
      <c r="H150" s="13"/>
      <c r="I150" s="13"/>
      <c r="J150" s="13"/>
      <c r="K150" s="13"/>
      <c r="L150" s="13"/>
      <c r="M150" s="13"/>
      <c r="N150" s="14"/>
      <c r="O150" s="14"/>
      <c r="P150" s="14"/>
      <c r="Q150" s="14"/>
    </row>
    <row r="151" spans="5:17" x14ac:dyDescent="0.35">
      <c r="E151" s="13"/>
      <c r="F151" s="13"/>
      <c r="G151" s="13"/>
      <c r="H151" s="13"/>
      <c r="I151" s="13"/>
      <c r="J151" s="13"/>
      <c r="K151" s="13"/>
      <c r="L151" s="13"/>
      <c r="M151" s="13"/>
      <c r="N151" s="14"/>
      <c r="O151" s="14"/>
      <c r="P151" s="14"/>
      <c r="Q151" s="14"/>
    </row>
    <row r="152" spans="5:17" x14ac:dyDescent="0.35">
      <c r="E152" s="13"/>
      <c r="F152" s="13"/>
      <c r="G152" s="13"/>
      <c r="H152" s="13"/>
      <c r="I152" s="13"/>
      <c r="J152" s="13"/>
      <c r="K152" s="13"/>
      <c r="L152" s="13"/>
      <c r="M152" s="13"/>
      <c r="N152" s="14"/>
      <c r="O152" s="14"/>
      <c r="P152" s="14"/>
      <c r="Q152" s="14"/>
    </row>
    <row r="153" spans="5:17" x14ac:dyDescent="0.35">
      <c r="E153" s="13"/>
      <c r="F153" s="13"/>
      <c r="G153" s="13"/>
      <c r="H153" s="13"/>
      <c r="I153" s="13"/>
      <c r="J153" s="13"/>
      <c r="K153" s="13"/>
      <c r="L153" s="13"/>
      <c r="M153" s="13"/>
      <c r="N153" s="14"/>
      <c r="O153" s="14"/>
      <c r="P153" s="14"/>
      <c r="Q153" s="14"/>
    </row>
    <row r="154" spans="5:17" x14ac:dyDescent="0.35">
      <c r="E154" s="13"/>
      <c r="F154" s="13"/>
      <c r="G154" s="13"/>
      <c r="H154" s="13"/>
      <c r="I154" s="13"/>
      <c r="J154" s="13"/>
      <c r="K154" s="13"/>
      <c r="L154" s="13"/>
      <c r="M154" s="13"/>
      <c r="N154" s="14"/>
      <c r="O154" s="14"/>
      <c r="P154" s="14"/>
      <c r="Q154" s="14"/>
    </row>
    <row r="155" spans="5:17" x14ac:dyDescent="0.35">
      <c r="E155" s="13"/>
      <c r="F155" s="13"/>
      <c r="G155" s="13"/>
      <c r="H155" s="13"/>
      <c r="I155" s="13"/>
      <c r="J155" s="13"/>
      <c r="K155" s="13"/>
      <c r="L155" s="13"/>
      <c r="M155" s="13"/>
      <c r="N155" s="14"/>
      <c r="O155" s="14"/>
      <c r="P155" s="14"/>
      <c r="Q155" s="14"/>
    </row>
    <row r="156" spans="5:17" x14ac:dyDescent="0.35">
      <c r="E156" s="13"/>
      <c r="F156" s="13"/>
      <c r="G156" s="13"/>
      <c r="H156" s="13"/>
      <c r="I156" s="13"/>
      <c r="J156" s="13"/>
      <c r="K156" s="13"/>
      <c r="L156" s="13"/>
      <c r="M156" s="13"/>
      <c r="N156" s="14"/>
      <c r="O156" s="14"/>
      <c r="P156" s="14"/>
      <c r="Q156" s="14"/>
    </row>
    <row r="157" spans="5:17" x14ac:dyDescent="0.35">
      <c r="E157" s="13"/>
      <c r="F157" s="13"/>
      <c r="G157" s="13"/>
      <c r="H157" s="13"/>
      <c r="I157" s="13"/>
      <c r="J157" s="13"/>
      <c r="K157" s="13"/>
      <c r="L157" s="13"/>
      <c r="M157" s="13"/>
      <c r="N157" s="14"/>
      <c r="O157" s="14"/>
      <c r="P157" s="14"/>
      <c r="Q157" s="14"/>
    </row>
    <row r="158" spans="5:17" x14ac:dyDescent="0.35">
      <c r="E158" s="13"/>
      <c r="F158" s="13"/>
      <c r="G158" s="13"/>
      <c r="H158" s="13"/>
      <c r="I158" s="13"/>
      <c r="J158" s="13"/>
      <c r="K158" s="13"/>
      <c r="L158" s="13"/>
      <c r="M158" s="13"/>
      <c r="N158" s="14"/>
      <c r="O158" s="14"/>
      <c r="P158" s="14"/>
      <c r="Q158" s="14"/>
    </row>
    <row r="159" spans="5:17" x14ac:dyDescent="0.35">
      <c r="E159" s="13"/>
      <c r="F159" s="13"/>
      <c r="G159" s="13"/>
      <c r="H159" s="13"/>
      <c r="I159" s="13"/>
      <c r="J159" s="13"/>
      <c r="K159" s="13"/>
      <c r="L159" s="13"/>
      <c r="M159" s="13"/>
      <c r="N159" s="14"/>
      <c r="O159" s="14"/>
      <c r="P159" s="14"/>
      <c r="Q159" s="14"/>
    </row>
    <row r="160" spans="5:17" x14ac:dyDescent="0.35">
      <c r="E160" s="13"/>
      <c r="F160" s="13"/>
      <c r="G160" s="13"/>
      <c r="H160" s="13"/>
      <c r="I160" s="13"/>
      <c r="J160" s="13"/>
      <c r="K160" s="13"/>
      <c r="L160" s="13"/>
      <c r="M160" s="13"/>
      <c r="N160" s="14"/>
      <c r="O160" s="14"/>
      <c r="P160" s="14"/>
      <c r="Q160" s="14"/>
    </row>
    <row r="161" spans="5:17" x14ac:dyDescent="0.35">
      <c r="E161" s="13"/>
      <c r="F161" s="13"/>
      <c r="G161" s="13"/>
      <c r="H161" s="13"/>
      <c r="I161" s="13"/>
      <c r="J161" s="13"/>
      <c r="K161" s="13"/>
      <c r="L161" s="13"/>
      <c r="M161" s="13"/>
      <c r="N161" s="14"/>
      <c r="O161" s="14"/>
      <c r="P161" s="14"/>
      <c r="Q161" s="14"/>
    </row>
    <row r="162" spans="5:17" x14ac:dyDescent="0.35">
      <c r="E162" s="13"/>
      <c r="F162" s="13"/>
      <c r="G162" s="13"/>
      <c r="H162" s="13"/>
      <c r="I162" s="13"/>
      <c r="J162" s="13"/>
      <c r="K162" s="13"/>
      <c r="L162" s="13"/>
      <c r="M162" s="13"/>
      <c r="N162" s="14"/>
      <c r="O162" s="14"/>
      <c r="P162" s="14"/>
      <c r="Q162" s="14"/>
    </row>
    <row r="163" spans="5:17" x14ac:dyDescent="0.35">
      <c r="E163" s="13"/>
      <c r="F163" s="13"/>
      <c r="G163" s="13"/>
      <c r="H163" s="13"/>
      <c r="I163" s="13"/>
      <c r="J163" s="13"/>
      <c r="K163" s="13"/>
      <c r="L163" s="13"/>
      <c r="M163" s="13"/>
      <c r="N163" s="14"/>
      <c r="O163" s="14"/>
      <c r="P163" s="14"/>
      <c r="Q163" s="14"/>
    </row>
    <row r="164" spans="5:17" x14ac:dyDescent="0.35">
      <c r="E164" s="13"/>
      <c r="F164" s="13"/>
      <c r="G164" s="13"/>
      <c r="H164" s="13"/>
      <c r="I164" s="13"/>
      <c r="J164" s="13"/>
      <c r="K164" s="13"/>
      <c r="L164" s="13"/>
      <c r="M164" s="13"/>
      <c r="N164" s="14"/>
      <c r="O164" s="14"/>
      <c r="P164" s="14"/>
      <c r="Q164" s="14"/>
    </row>
    <row r="165" spans="5:17" x14ac:dyDescent="0.35">
      <c r="E165" s="13"/>
      <c r="F165" s="13"/>
      <c r="G165" s="13"/>
      <c r="H165" s="13"/>
      <c r="I165" s="13"/>
      <c r="J165" s="13"/>
      <c r="K165" s="13"/>
      <c r="L165" s="13"/>
      <c r="M165" s="13"/>
      <c r="N165" s="14"/>
      <c r="O165" s="14"/>
      <c r="P165" s="14"/>
      <c r="Q165" s="14"/>
    </row>
    <row r="166" spans="5:17" x14ac:dyDescent="0.35">
      <c r="E166" s="13"/>
      <c r="F166" s="13"/>
      <c r="G166" s="13"/>
      <c r="H166" s="13"/>
      <c r="I166" s="13"/>
      <c r="J166" s="13"/>
      <c r="K166" s="13"/>
      <c r="L166" s="13"/>
      <c r="M166" s="13"/>
      <c r="N166" s="14"/>
      <c r="O166" s="14"/>
      <c r="P166" s="14"/>
      <c r="Q166" s="14"/>
    </row>
    <row r="167" spans="5:17" x14ac:dyDescent="0.35">
      <c r="E167" s="13"/>
      <c r="F167" s="13"/>
      <c r="G167" s="13"/>
      <c r="H167" s="13"/>
      <c r="I167" s="13"/>
      <c r="J167" s="13"/>
      <c r="K167" s="13"/>
      <c r="L167" s="13"/>
      <c r="M167" s="13"/>
      <c r="N167" s="14"/>
      <c r="O167" s="14"/>
      <c r="P167" s="14"/>
      <c r="Q167" s="14"/>
    </row>
    <row r="168" spans="5:17" x14ac:dyDescent="0.35">
      <c r="E168" s="13"/>
      <c r="F168" s="13"/>
      <c r="G168" s="13"/>
      <c r="H168" s="13"/>
      <c r="I168" s="13"/>
      <c r="J168" s="13"/>
      <c r="K168" s="13"/>
      <c r="L168" s="13"/>
      <c r="M168" s="13"/>
      <c r="N168" s="14"/>
      <c r="O168" s="14"/>
      <c r="P168" s="14"/>
      <c r="Q168" s="14"/>
    </row>
    <row r="169" spans="5:17" x14ac:dyDescent="0.35">
      <c r="E169" s="13"/>
      <c r="F169" s="13"/>
      <c r="G169" s="13"/>
      <c r="H169" s="13"/>
      <c r="I169" s="13"/>
      <c r="J169" s="13"/>
      <c r="K169" s="13"/>
      <c r="L169" s="13"/>
      <c r="M169" s="13"/>
      <c r="N169" s="14"/>
      <c r="O169" s="14"/>
      <c r="P169" s="14"/>
      <c r="Q169" s="14"/>
    </row>
    <row r="170" spans="5:17" x14ac:dyDescent="0.35">
      <c r="E170" s="13"/>
      <c r="F170" s="13"/>
      <c r="G170" s="13"/>
      <c r="H170" s="13"/>
      <c r="I170" s="13"/>
      <c r="J170" s="13"/>
      <c r="K170" s="13"/>
      <c r="L170" s="13"/>
      <c r="M170" s="13"/>
      <c r="N170" s="14"/>
      <c r="O170" s="14"/>
      <c r="P170" s="14"/>
      <c r="Q170" s="14"/>
    </row>
    <row r="171" spans="5:17" x14ac:dyDescent="0.35">
      <c r="E171" s="13"/>
      <c r="F171" s="13"/>
      <c r="G171" s="13"/>
      <c r="H171" s="13"/>
      <c r="I171" s="13"/>
      <c r="J171" s="13"/>
      <c r="K171" s="13"/>
      <c r="L171" s="13"/>
      <c r="M171" s="13"/>
      <c r="N171" s="14"/>
      <c r="O171" s="14"/>
      <c r="P171" s="14"/>
      <c r="Q171" s="14"/>
    </row>
    <row r="172" spans="5:17" x14ac:dyDescent="0.35">
      <c r="E172" s="13"/>
      <c r="F172" s="13"/>
      <c r="G172" s="13"/>
      <c r="H172" s="13"/>
      <c r="I172" s="13"/>
      <c r="J172" s="13"/>
      <c r="K172" s="13"/>
      <c r="L172" s="13"/>
      <c r="M172" s="13"/>
      <c r="N172" s="14"/>
      <c r="O172" s="14"/>
      <c r="P172" s="14"/>
      <c r="Q172" s="14"/>
    </row>
    <row r="173" spans="5:17" x14ac:dyDescent="0.35">
      <c r="E173" s="13"/>
      <c r="F173" s="13"/>
      <c r="G173" s="13"/>
      <c r="H173" s="13"/>
      <c r="I173" s="13"/>
      <c r="J173" s="13"/>
      <c r="K173" s="13"/>
      <c r="L173" s="13"/>
      <c r="M173" s="13"/>
      <c r="N173" s="14"/>
      <c r="O173" s="14"/>
      <c r="P173" s="14"/>
      <c r="Q173" s="14"/>
    </row>
    <row r="174" spans="5:17" x14ac:dyDescent="0.35">
      <c r="E174" s="13"/>
      <c r="F174" s="13"/>
      <c r="G174" s="13"/>
      <c r="H174" s="13"/>
      <c r="I174" s="13"/>
      <c r="J174" s="13"/>
      <c r="K174" s="13"/>
      <c r="L174" s="13"/>
      <c r="M174" s="13"/>
      <c r="N174" s="14"/>
      <c r="O174" s="14"/>
      <c r="P174" s="14"/>
      <c r="Q174" s="14"/>
    </row>
    <row r="175" spans="5:17" x14ac:dyDescent="0.35">
      <c r="E175" s="13"/>
      <c r="F175" s="13"/>
      <c r="G175" s="13"/>
      <c r="H175" s="13"/>
      <c r="I175" s="13"/>
      <c r="J175" s="13"/>
      <c r="K175" s="13"/>
      <c r="L175" s="13"/>
      <c r="M175" s="13"/>
      <c r="N175" s="14"/>
      <c r="O175" s="14"/>
      <c r="P175" s="14"/>
      <c r="Q175" s="14"/>
    </row>
    <row r="176" spans="5:17" x14ac:dyDescent="0.35">
      <c r="E176" s="13"/>
      <c r="F176" s="13"/>
      <c r="G176" s="13"/>
      <c r="H176" s="13"/>
      <c r="I176" s="13"/>
      <c r="J176" s="13"/>
      <c r="K176" s="13"/>
      <c r="L176" s="13"/>
      <c r="M176" s="13"/>
      <c r="N176" s="14"/>
      <c r="O176" s="14"/>
      <c r="P176" s="14"/>
      <c r="Q176" s="14"/>
    </row>
    <row r="177" spans="5:17" x14ac:dyDescent="0.35">
      <c r="E177" s="13"/>
      <c r="F177" s="13"/>
      <c r="G177" s="13"/>
      <c r="H177" s="13"/>
      <c r="I177" s="13"/>
      <c r="J177" s="13"/>
      <c r="K177" s="13"/>
      <c r="L177" s="13"/>
      <c r="M177" s="13"/>
      <c r="N177" s="14"/>
      <c r="O177" s="14"/>
      <c r="P177" s="14"/>
      <c r="Q177" s="14"/>
    </row>
    <row r="178" spans="5:17" x14ac:dyDescent="0.35">
      <c r="E178" s="13"/>
      <c r="F178" s="13"/>
      <c r="G178" s="13"/>
      <c r="H178" s="13"/>
      <c r="I178" s="13"/>
      <c r="J178" s="13"/>
      <c r="K178" s="13"/>
      <c r="L178" s="13"/>
      <c r="M178" s="13"/>
      <c r="N178" s="14"/>
      <c r="O178" s="14"/>
      <c r="P178" s="14"/>
      <c r="Q178" s="14"/>
    </row>
    <row r="179" spans="5:17" x14ac:dyDescent="0.35">
      <c r="E179" s="13"/>
      <c r="F179" s="13"/>
      <c r="G179" s="13"/>
      <c r="H179" s="13"/>
      <c r="I179" s="13"/>
      <c r="J179" s="13"/>
      <c r="K179" s="13"/>
      <c r="L179" s="13"/>
      <c r="M179" s="13"/>
      <c r="N179" s="14"/>
      <c r="O179" s="14"/>
      <c r="P179" s="14"/>
      <c r="Q179" s="14"/>
    </row>
    <row r="180" spans="5:17" x14ac:dyDescent="0.35">
      <c r="E180" s="13"/>
      <c r="F180" s="13"/>
      <c r="G180" s="13"/>
      <c r="H180" s="13"/>
      <c r="I180" s="13"/>
      <c r="J180" s="13"/>
      <c r="K180" s="13"/>
      <c r="L180" s="13"/>
      <c r="M180" s="13"/>
      <c r="N180" s="14"/>
      <c r="O180" s="14"/>
      <c r="P180" s="14"/>
      <c r="Q180" s="14"/>
    </row>
    <row r="181" spans="5:17" x14ac:dyDescent="0.35">
      <c r="E181" s="13"/>
      <c r="F181" s="13"/>
      <c r="G181" s="13"/>
      <c r="H181" s="13"/>
      <c r="I181" s="13"/>
      <c r="J181" s="13"/>
      <c r="K181" s="13"/>
      <c r="L181" s="13"/>
      <c r="M181" s="13"/>
      <c r="N181" s="14"/>
      <c r="O181" s="14"/>
      <c r="P181" s="14"/>
      <c r="Q181" s="14"/>
    </row>
    <row r="182" spans="5:17" x14ac:dyDescent="0.35">
      <c r="E182" s="13"/>
      <c r="F182" s="13"/>
      <c r="G182" s="13"/>
      <c r="H182" s="13"/>
      <c r="I182" s="13"/>
      <c r="J182" s="13"/>
      <c r="K182" s="13"/>
      <c r="L182" s="13"/>
      <c r="M182" s="13"/>
      <c r="N182" s="14"/>
      <c r="O182" s="14"/>
      <c r="P182" s="14"/>
      <c r="Q182" s="14"/>
    </row>
    <row r="183" spans="5:17" x14ac:dyDescent="0.35">
      <c r="E183" s="13"/>
      <c r="F183" s="13"/>
      <c r="G183" s="13"/>
      <c r="H183" s="13"/>
      <c r="I183" s="13"/>
      <c r="J183" s="13"/>
      <c r="K183" s="13"/>
      <c r="L183" s="13"/>
      <c r="M183" s="13"/>
      <c r="N183" s="14"/>
      <c r="O183" s="14"/>
      <c r="P183" s="14"/>
      <c r="Q183" s="14"/>
    </row>
    <row r="184" spans="5:17" x14ac:dyDescent="0.35">
      <c r="E184" s="13"/>
      <c r="F184" s="13"/>
      <c r="G184" s="13"/>
      <c r="H184" s="13"/>
      <c r="I184" s="13"/>
      <c r="J184" s="13"/>
      <c r="K184" s="13"/>
      <c r="L184" s="13"/>
      <c r="M184" s="13"/>
      <c r="N184" s="14"/>
      <c r="O184" s="14"/>
      <c r="P184" s="14"/>
      <c r="Q184" s="14"/>
    </row>
    <row r="185" spans="5:17" x14ac:dyDescent="0.35">
      <c r="E185" s="13"/>
      <c r="F185" s="13"/>
      <c r="G185" s="13"/>
      <c r="H185" s="13"/>
      <c r="I185" s="13"/>
      <c r="J185" s="13"/>
      <c r="K185" s="13"/>
      <c r="L185" s="13"/>
      <c r="M185" s="13"/>
      <c r="N185" s="14"/>
      <c r="O185" s="14"/>
      <c r="P185" s="14"/>
      <c r="Q185" s="14"/>
    </row>
    <row r="186" spans="5:17" x14ac:dyDescent="0.35">
      <c r="E186" s="13"/>
      <c r="F186" s="13"/>
      <c r="G186" s="13"/>
      <c r="H186" s="13"/>
      <c r="I186" s="13"/>
      <c r="J186" s="13"/>
      <c r="K186" s="13"/>
      <c r="L186" s="13"/>
      <c r="M186" s="13"/>
      <c r="N186" s="14"/>
      <c r="O186" s="14"/>
      <c r="P186" s="14"/>
      <c r="Q186" s="14"/>
    </row>
    <row r="187" spans="5:17" x14ac:dyDescent="0.35">
      <c r="E187" s="13"/>
      <c r="F187" s="13"/>
      <c r="G187" s="13"/>
      <c r="H187" s="13"/>
      <c r="I187" s="13"/>
      <c r="J187" s="13"/>
      <c r="K187" s="13"/>
      <c r="L187" s="13"/>
      <c r="M187" s="13"/>
      <c r="N187" s="14"/>
      <c r="O187" s="14"/>
      <c r="P187" s="14"/>
      <c r="Q187" s="14"/>
    </row>
    <row r="188" spans="5:17" x14ac:dyDescent="0.35">
      <c r="E188" s="13"/>
      <c r="F188" s="13"/>
      <c r="G188" s="13"/>
      <c r="H188" s="13"/>
      <c r="I188" s="13"/>
      <c r="J188" s="13"/>
      <c r="K188" s="13"/>
      <c r="L188" s="13"/>
      <c r="M188" s="13"/>
      <c r="N188" s="14"/>
      <c r="O188" s="14"/>
      <c r="P188" s="14"/>
      <c r="Q188" s="14"/>
    </row>
    <row r="189" spans="5:17" x14ac:dyDescent="0.35">
      <c r="E189" s="13"/>
      <c r="F189" s="13"/>
      <c r="G189" s="13"/>
      <c r="H189" s="13"/>
      <c r="I189" s="13"/>
      <c r="J189" s="13"/>
      <c r="K189" s="13"/>
      <c r="L189" s="13"/>
      <c r="M189" s="13"/>
      <c r="N189" s="14"/>
      <c r="O189" s="14"/>
      <c r="P189" s="14"/>
      <c r="Q189" s="14"/>
    </row>
    <row r="190" spans="5:17" x14ac:dyDescent="0.35">
      <c r="E190" s="13"/>
      <c r="F190" s="13"/>
      <c r="G190" s="13"/>
      <c r="H190" s="13"/>
      <c r="I190" s="13"/>
      <c r="J190" s="13"/>
      <c r="K190" s="13"/>
      <c r="L190" s="13"/>
      <c r="M190" s="13"/>
      <c r="N190" s="14"/>
      <c r="O190" s="14"/>
      <c r="P190" s="14"/>
      <c r="Q190" s="14"/>
    </row>
    <row r="191" spans="5:17" x14ac:dyDescent="0.35">
      <c r="E191" s="13"/>
      <c r="F191" s="13"/>
      <c r="G191" s="13"/>
      <c r="H191" s="13"/>
      <c r="I191" s="13"/>
      <c r="J191" s="13"/>
      <c r="K191" s="13"/>
      <c r="L191" s="13"/>
      <c r="M191" s="13"/>
      <c r="N191" s="14"/>
      <c r="O191" s="14"/>
      <c r="P191" s="14"/>
      <c r="Q191" s="14"/>
    </row>
    <row r="192" spans="5:17" x14ac:dyDescent="0.35">
      <c r="E192" s="13"/>
      <c r="F192" s="13"/>
      <c r="G192" s="13"/>
      <c r="H192" s="13"/>
      <c r="I192" s="13"/>
      <c r="J192" s="13"/>
      <c r="K192" s="13"/>
      <c r="L192" s="13"/>
      <c r="M192" s="13"/>
      <c r="N192" s="14"/>
      <c r="O192" s="14"/>
      <c r="P192" s="14"/>
      <c r="Q192" s="14"/>
    </row>
    <row r="193" spans="5:17" x14ac:dyDescent="0.35">
      <c r="E193" s="13"/>
      <c r="F193" s="13"/>
      <c r="G193" s="13"/>
      <c r="H193" s="13"/>
      <c r="I193" s="13"/>
      <c r="J193" s="13"/>
      <c r="K193" s="13"/>
      <c r="L193" s="13"/>
      <c r="M193" s="13"/>
      <c r="N193" s="14"/>
      <c r="O193" s="14"/>
      <c r="P193" s="14"/>
      <c r="Q193" s="14"/>
    </row>
    <row r="194" spans="5:17" x14ac:dyDescent="0.35">
      <c r="E194" s="13"/>
      <c r="F194" s="13"/>
      <c r="G194" s="13"/>
      <c r="H194" s="13"/>
      <c r="I194" s="13"/>
      <c r="J194" s="13"/>
      <c r="K194" s="13"/>
      <c r="L194" s="13"/>
      <c r="M194" s="13"/>
      <c r="N194" s="14"/>
      <c r="O194" s="14"/>
      <c r="P194" s="14"/>
      <c r="Q194" s="14"/>
    </row>
    <row r="195" spans="5:17" x14ac:dyDescent="0.35">
      <c r="E195" s="13"/>
      <c r="F195" s="13"/>
      <c r="G195" s="13"/>
      <c r="H195" s="13"/>
      <c r="I195" s="13"/>
      <c r="J195" s="13"/>
      <c r="K195" s="13"/>
      <c r="L195" s="13"/>
      <c r="M195" s="13"/>
      <c r="N195" s="14"/>
      <c r="O195" s="14"/>
      <c r="P195" s="14"/>
      <c r="Q195" s="14"/>
    </row>
    <row r="196" spans="5:17" x14ac:dyDescent="0.35">
      <c r="E196" s="13"/>
      <c r="F196" s="13"/>
      <c r="G196" s="13"/>
      <c r="H196" s="13"/>
      <c r="I196" s="13"/>
      <c r="J196" s="13"/>
      <c r="K196" s="13"/>
      <c r="L196" s="13"/>
      <c r="M196" s="13"/>
      <c r="N196" s="14"/>
      <c r="O196" s="14"/>
      <c r="P196" s="14"/>
      <c r="Q196" s="14"/>
    </row>
    <row r="197" spans="5:17" x14ac:dyDescent="0.35">
      <c r="E197" s="13"/>
      <c r="F197" s="13"/>
      <c r="G197" s="13"/>
      <c r="H197" s="13"/>
      <c r="I197" s="13"/>
      <c r="J197" s="13"/>
      <c r="K197" s="13"/>
      <c r="L197" s="13"/>
      <c r="M197" s="13"/>
      <c r="N197" s="14"/>
      <c r="O197" s="14"/>
      <c r="P197" s="14"/>
      <c r="Q197" s="14"/>
    </row>
    <row r="198" spans="5:17" x14ac:dyDescent="0.35">
      <c r="E198" s="13"/>
      <c r="F198" s="13"/>
      <c r="G198" s="13"/>
      <c r="H198" s="13"/>
      <c r="I198" s="13"/>
      <c r="J198" s="13"/>
      <c r="K198" s="13"/>
      <c r="L198" s="13"/>
      <c r="M198" s="13"/>
      <c r="N198" s="14"/>
      <c r="O198" s="14"/>
      <c r="P198" s="14"/>
      <c r="Q198" s="14"/>
    </row>
    <row r="199" spans="5:17" x14ac:dyDescent="0.35">
      <c r="E199" s="13"/>
      <c r="F199" s="13"/>
      <c r="G199" s="13"/>
      <c r="H199" s="13"/>
      <c r="I199" s="13"/>
      <c r="J199" s="13"/>
      <c r="K199" s="13"/>
      <c r="L199" s="13"/>
      <c r="M199" s="13"/>
      <c r="N199" s="14"/>
      <c r="O199" s="14"/>
      <c r="P199" s="14"/>
      <c r="Q199" s="14"/>
    </row>
    <row r="200" spans="5:17" x14ac:dyDescent="0.35">
      <c r="E200" s="13"/>
      <c r="F200" s="13"/>
      <c r="G200" s="13"/>
      <c r="H200" s="13"/>
      <c r="I200" s="13"/>
      <c r="J200" s="13"/>
      <c r="K200" s="13"/>
      <c r="L200" s="13"/>
      <c r="M200" s="13"/>
      <c r="N200" s="14"/>
      <c r="O200" s="14"/>
      <c r="P200" s="14"/>
      <c r="Q200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02378-5711-4D64-AB82-A7FEE4793D73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D10B0-AACD-42E0-B088-D6B06DC94BFB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04D2D-B65B-4E70-831B-ACA219AFD1C6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771A-022F-4CF7-8B2C-2F7BDF6070B9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54263-B269-443E-B86E-711C8148F83F}">
  <dimension ref="A1:F1"/>
  <sheetViews>
    <sheetView workbookViewId="0"/>
  </sheetViews>
  <sheetFormatPr defaultRowHeight="15.5" x14ac:dyDescent="0.35"/>
  <sheetData>
    <row r="1" spans="1:6" x14ac:dyDescent="0.35">
      <c r="A1" t="s">
        <v>128</v>
      </c>
      <c r="B1" t="s">
        <v>150</v>
      </c>
      <c r="C1" t="s">
        <v>151</v>
      </c>
      <c r="D1" t="s">
        <v>152</v>
      </c>
      <c r="E1" t="s">
        <v>49</v>
      </c>
      <c r="F1" t="s">
        <v>210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28A63-C807-4A74-A5DD-EB39D42E5E08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04B37-44BC-4C9B-AE6B-8B880BB5A5F9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A294F-D9A6-4E54-9077-3F147112884F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A026D-DD94-44BB-A447-F04E001D3457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5407D-042B-4993-B5FF-03976E5402ED}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3203125" defaultRowHeight="15.5" x14ac:dyDescent="0.35"/>
  <cols>
    <col min="1" max="1" width="14.75" style="1" customWidth="1"/>
    <col min="2" max="2" width="9.25" style="1" customWidth="1"/>
    <col min="3" max="16384" width="8.832031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12</v>
      </c>
      <c r="B9" s="1" t="b">
        <v>0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14</v>
      </c>
    </row>
    <row r="16" spans="1:2" x14ac:dyDescent="0.35">
      <c r="A16" s="1" t="s">
        <v>6</v>
      </c>
    </row>
    <row r="17" spans="1:1" x14ac:dyDescent="0.35">
      <c r="A17" s="1" t="s">
        <v>11</v>
      </c>
    </row>
  </sheetData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25BD1-E7BB-4B66-9AD5-C4B90569C458}">
  <dimension ref="A1:B2"/>
  <sheetViews>
    <sheetView workbookViewId="0"/>
  </sheetViews>
  <sheetFormatPr defaultRowHeight="15.5" x14ac:dyDescent="0.35"/>
  <cols>
    <col min="1" max="1" width="14.1640625" bestFit="1" customWidth="1"/>
    <col min="2" max="2" width="96.58203125" bestFit="1" customWidth="1"/>
  </cols>
  <sheetData>
    <row r="1" spans="1:2" x14ac:dyDescent="0.35">
      <c r="A1" t="s">
        <v>8</v>
      </c>
      <c r="B1" t="s">
        <v>225</v>
      </c>
    </row>
    <row r="2" spans="1:2" x14ac:dyDescent="0.35">
      <c r="A2" t="s">
        <v>0</v>
      </c>
      <c r="B2" t="s">
        <v>226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</vt:i4>
      </vt:variant>
    </vt:vector>
  </HeadingPairs>
  <TitlesOfParts>
    <vt:vector size="24" baseType="lpstr">
      <vt:lpstr>Control</vt:lpstr>
      <vt:lpstr>Config</vt:lpstr>
      <vt:lpstr>Market</vt:lpstr>
      <vt:lpstr>Curve</vt:lpstr>
      <vt:lpstr>FX</vt:lpstr>
      <vt:lpstr>VolSurface</vt:lpstr>
      <vt:lpstr>Correlation</vt:lpstr>
      <vt:lpstr>NettingSets</vt:lpstr>
      <vt:lpstr>Trades</vt:lpstr>
      <vt:lpstr>Checks</vt:lpstr>
      <vt:lpstr>Summary</vt:lpstr>
      <vt:lpstr>Charts</vt:lpstr>
      <vt:lpstr>EE_NEE</vt:lpstr>
      <vt:lpstr>TradeExposure</vt:lpstr>
      <vt:lpstr>LegMTM</vt:lpstr>
      <vt:lpstr>SACCR_Legs</vt:lpstr>
      <vt:lpstr>SACCR_Entities</vt:lpstr>
      <vt:lpstr>AnalyticCheck</vt:lpstr>
      <vt:lpstr>GridProfile</vt:lpstr>
      <vt:lpstr>Warnings</vt:lpstr>
      <vt:lpstr>_xlwings.conf</vt:lpstr>
      <vt:lpstr>xlwings.conf</vt:lpstr>
      <vt:lpstr>Action</vt:lpstr>
      <vt:lpstr>Status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Zhang, Brian</cp:lastModifiedBy>
  <dcterms:created xsi:type="dcterms:W3CDTF">2015-01-25T11:31:25Z</dcterms:created>
  <dcterms:modified xsi:type="dcterms:W3CDTF">2026-10-29T01:33:38Z</dcterms:modified>
  <cp:category/>
  <cp:contentStatus/>
</cp:coreProperties>
</file>